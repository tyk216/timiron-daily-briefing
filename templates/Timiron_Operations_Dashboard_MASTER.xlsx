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perations Dashboard" sheetId="1" state="visible" r:id="rId3"/>
    <sheet name="Mar 2026 P&amp;L Forecast" sheetId="2" state="visible" r:id="rId4"/>
    <sheet name="Mar 2026 Weekly" sheetId="3" state="visible" r:id="rId5"/>
    <sheet name="Headcount &amp; Roster" sheetId="4" state="visible" r:id="rId6"/>
    <sheet name="Pump Runtime" sheetId="5" state="visible" r:id="rId7"/>
    <sheet name="Maintenance Calendar" sheetId="6" state="visible" r:id="rId8"/>
    <sheet name="Diesel Fuel" sheetId="7" state="visible" r:id="rId9"/>
    <sheet name="Revenue Efficienc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<sst xmlns="http://schemas.openxmlformats.org/spreadsheetml/2006/main" count="1523" uniqueCount="679">
  <si>
    <t xml:space="preserve">|  OPERATIONS &amp; FINANCIAL DASHBOARD  (Apr 2025 – Mar 2026)</t>
  </si>
  <si>
    <t xml:space="preserve">Source: Actual P&amp;Ls, Master Load Logs, Payroll Files, Trafigura Invoices  |  Forecast: Mar 2026 based on 20-day actuals (through Mar 20)  |  Mar 2026 costs from Mar P&amp;L Forecast tab</t>
  </si>
  <si>
    <t xml:space="preserve">Month</t>
  </si>
  <si>
    <t xml:space="preserve">Headcount</t>
  </si>
  <si>
    <t xml:space="preserve">Operating
Revenue ($)</t>
  </si>
  <si>
    <t xml:space="preserve">Operating
Cost ($)</t>
  </si>
  <si>
    <t xml:space="preserve">EBITDA ($)</t>
  </si>
  <si>
    <t xml:space="preserve">Net
Income ($)</t>
  </si>
  <si>
    <t xml:space="preserve">Total
Barrels</t>
  </si>
  <si>
    <t xml:space="preserve">Bbls /
Day</t>
  </si>
  <si>
    <t xml:space="preserve">Trucks /
Day</t>
  </si>
  <si>
    <t xml:space="preserve">Total
Trucks</t>
  </si>
  <si>
    <t xml:space="preserve">Revenue /
Bbl ($)</t>
  </si>
  <si>
    <t xml:space="preserve">Cost /
Bbl ($)</t>
  </si>
  <si>
    <t xml:space="preserve">EBITDA /
Bbl ($)</t>
  </si>
  <si>
    <t xml:space="preserve">Adj Pump
Util %*</t>
  </si>
  <si>
    <t xml:space="preserve">Rail
Cap / Day**</t>
  </si>
  <si>
    <t xml:space="preserve">Apr 2025</t>
  </si>
  <si>
    <t xml:space="preserve">—</t>
  </si>
  <si>
    <t xml:space="preserve">May 2025</t>
  </si>
  <si>
    <t xml:space="preserve">Jun 2025</t>
  </si>
  <si>
    <t xml:space="preserve">Jul 2025</t>
  </si>
  <si>
    <t xml:space="preserve">Aug 2025</t>
  </si>
  <si>
    <t xml:space="preserve">Sep 2025</t>
  </si>
  <si>
    <t xml:space="preserve">Oct 2025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</si>
  <si>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</si>
  <si>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</si>
  <si>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</si>
  <si>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</si>
  <si>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2026†</t>
  </si>
  <si>
    <t xml:space="preserve">TOTAL / AVG</t>
  </si>
  <si>
    <t xml:space="preserve">† Mar 2026 = FORECAST based on 20-day actuals (10532.4 bbls/day avg) + steady run-rate through Mar 31. Actuals through Mar 20 from daily Cadiz Ops LOGS emails. Dec 2025 cost is negative due to 71k payroll reversal.
*  Adj Pump Util % = pump runtime hours ÷ true available hours (21 hrs/day).
**  % of Rail Cap/Day = avg bbls/day ÷ 15,000 bbl daily rail ceiling.</t>
  </si>
  <si>
    <t xml:space="preserve">† Mar 2026 = FORECAST based on 19-day actuals (10,522 bbls/day avg) + steady run-rate through Mar 31. Actuals through Mar 19 from daily Cadiz Ops LOGS emails. Dec 2025 cost is negative due to 71k payroll reversal.
*  Adj Pump Util % = pump runtime hours ÷ true available hours (21 hrs/day).  True available = 24 hrs minus the 3-hr nightly railroad switch window during which pumps are idle.
**  % of Rail Cap/Day = avg bbls/day ÷ 15,000 bbl daily rail ceiling.</t>
  </si>
  <si>
    <t xml:space="preserve">|  MARCH 2026 FORECASTED PROFIT &amp; LOSS  |  Accrual Basis</t>
  </si>
  <si>
    <t xml:space="preserve">Account</t>
  </si>
  <si>
    <t xml:space="preserve">Mar 2026 (Forecast)</t>
  </si>
  <si>
    <t xml:space="preserve">Feb 2026 (Actual)</t>
  </si>
  <si>
    <t xml:space="preserve">INCOME</t>
  </si>
  <si>
    <t xml:space="preserve">Services</t>
  </si>
  <si>
    <t xml:space="preserve">Uncategorized Income</t>
  </si>
  <si>
    <t xml:space="preserve">Total Income</t>
  </si>
  <si>
    <t xml:space="preserve">COST OF GOODS SOLD</t>
  </si>
  <si>
    <t xml:space="preserve">  Diesel</t>
  </si>
  <si>
    <t xml:space="preserve">  Equipment Rental - COGS</t>
  </si>
  <si>
    <t xml:space="preserve">  Hourly Wages</t>
  </si>
  <si>
    <t xml:space="preserve">  Payroll Taxes - COGS</t>
  </si>
  <si>
    <t xml:space="preserve">Total COGS</t>
  </si>
  <si>
    <t xml:space="preserve">GROSS PROFIT</t>
  </si>
  <si>
    <t xml:space="preserve">EXPENSES</t>
  </si>
  <si>
    <t xml:space="preserve">  Advertising &amp; Marketing</t>
  </si>
  <si>
    <t xml:space="preserve">  Commissions &amp; Fees</t>
  </si>
  <si>
    <t xml:space="preserve">  Contract Labor</t>
  </si>
  <si>
    <t xml:space="preserve">  Equipment Calibration</t>
  </si>
  <si>
    <t xml:space="preserve">  General Business Expenses</t>
  </si>
  <si>
    <t xml:space="preserve">    Memberships &amp; Subscriptions</t>
  </si>
  <si>
    <t xml:space="preserve">    Site Services</t>
  </si>
  <si>
    <t xml:space="preserve">  Total General Business</t>
  </si>
  <si>
    <t xml:space="preserve">  Meals</t>
  </si>
  <si>
    <t xml:space="preserve">  Office Expenses</t>
  </si>
  <si>
    <t xml:space="preserve">    Small Tools &amp; Equipment</t>
  </si>
  <si>
    <t xml:space="preserve">    Software &amp; Apps</t>
  </si>
  <si>
    <t xml:space="preserve">  Total Office Expenses</t>
  </si>
  <si>
    <t xml:space="preserve">  Payroll Expenses</t>
  </si>
  <si>
    <t xml:space="preserve">    Salaries</t>
  </si>
  <si>
    <t xml:space="preserve">    Taxes</t>
  </si>
  <si>
    <t xml:space="preserve">    Wages</t>
  </si>
  <si>
    <t xml:space="preserve">  Total Payroll Expenses</t>
  </si>
  <si>
    <t xml:space="preserve">  Rent</t>
  </si>
  <si>
    <t xml:space="preserve">    Building &amp; Land Rent</t>
  </si>
  <si>
    <t xml:space="preserve">    Rental Equipment</t>
  </si>
  <si>
    <t xml:space="preserve">  Total Rent</t>
  </si>
  <si>
    <t xml:space="preserve">  Repairs &amp; Maintenance</t>
  </si>
  <si>
    <t xml:space="preserve">  Supplies</t>
  </si>
  <si>
    <t xml:space="preserve">    Office Supplies</t>
  </si>
  <si>
    <t xml:space="preserve">    Yard Expense</t>
  </si>
  <si>
    <t xml:space="preserve">  Total Supplies</t>
  </si>
  <si>
    <t xml:space="preserve">  Utilities</t>
  </si>
  <si>
    <t xml:space="preserve">    Disposal &amp; Waste Fees</t>
  </si>
  <si>
    <t xml:space="preserve">    Electricity</t>
  </si>
  <si>
    <t xml:space="preserve">    Phone Service</t>
  </si>
  <si>
    <t xml:space="preserve">  Total Utilities</t>
  </si>
  <si>
    <t xml:space="preserve">Total Expenses</t>
  </si>
  <si>
    <t xml:space="preserve">NET OPERATING INCOME</t>
  </si>
  <si>
    <t xml:space="preserve">OTHER EXPENSES</t>
  </si>
  <si>
    <t xml:space="preserve">  Misc / Ask</t>
  </si>
  <si>
    <t xml:space="preserve">  Vehicle Expenses</t>
  </si>
  <si>
    <t xml:space="preserve">    Parking &amp; Tolls</t>
  </si>
  <si>
    <t xml:space="preserve">    Vehicle Gas &amp; Fuel</t>
  </si>
  <si>
    <t xml:space="preserve">    Vehicle Repairs</t>
  </si>
  <si>
    <t xml:space="preserve">  Total Vehicle Expenses</t>
  </si>
  <si>
    <t xml:space="preserve">Total Other Expenses</t>
  </si>
  <si>
    <t xml:space="preserve">Net Other Income</t>
  </si>
  <si>
    <t xml:space="preserve">NET INCOME</t>
  </si>
  <si>
    <t xml:space="preserve">|  MARCH 2026 WEEKLY BREAKDOWN</t>
  </si>
  <si>
    <t xml:space="preserve">Period</t>
  </si>
  <si>
    <t xml:space="preserve">Dates</t>
  </si>
  <si>
    <t xml:space="preserve">Days</t>
  </si>
  <si>
    <t xml:space="preserve">Bbls (Actual / Forecast)</t>
  </si>
  <si>
    <t xml:space="preserve">Revenue ($)</t>
  </si>
  <si>
    <t xml:space="preserve">Expenses ($)</t>
  </si>
  <si>
    <t xml:space="preserve">Net ($)</t>
  </si>
  <si>
    <t xml:space="preserve">Status</t>
  </si>
  <si>
    <t xml:space="preserve">Week 1</t>
  </si>
  <si>
    <t xml:space="preserve">Mar 1–7</t>
  </si>
  <si>
    <t xml:space="preserve">Actual: 89,929</t>
  </si>
  <si>
    <t xml:space="preserve">ACTUAL</t>
  </si>
  <si>
    <t xml:space="preserve">Week 2</t>
  </si>
  <si>
    <t xml:space="preserve">Mar 8–14</t>
  </si>
  <si>
    <t xml:space="preserve">Actual: 79,514</t>
  </si>
  <si>
    <t xml:space="preserve">MIXED</t>
  </si>
  <si>
    <t xml:space="preserve">Week 3</t>
  </si>
  <si>
    <t xml:space="preserve">Mar 15–21</t>
  </si>
  <si>
    <t xml:space="preserve">Act 46,647 + Fcst 21,043</t>
  </si>
  <si>
    <t xml:space="preserve">Week 4</t>
  </si>
  <si>
    <t xml:space="preserve">Mar 22–28</t>
  </si>
  <si>
    <t xml:space="preserve">Forecast: 89,929</t>
  </si>
  <si>
    <t xml:space="preserve">FORECAST</t>
  </si>
  <si>
    <t xml:space="preserve">Week 5</t>
  </si>
  <si>
    <t xml:space="preserve">Mar 29–31</t>
  </si>
  <si>
    <t xml:space="preserve">Forecast: 38,541</t>
  </si>
  <si>
    <t xml:space="preserve">TOTAL</t>
  </si>
  <si>
    <t xml:space="preserve">Mar 1–31</t>
  </si>
  <si>
    <t xml:space="preserve">351,770</t>
  </si>
  <si>
    <t xml:space="preserve">|  HEADCOUNT BY MONTH &amp; CURRENT ROSTER</t>
  </si>
  <si>
    <t xml:space="preserve">Change</t>
  </si>
  <si>
    <t xml:space="preserve">Source</t>
  </si>
  <si>
    <t xml:space="preserve">Management input</t>
  </si>
  <si>
    <t xml:space="preserve">Payroll PDF</t>
  </si>
  <si>
    <t xml:space="preserve">Mar 2026</t>
  </si>
  <si>
    <t xml:space="preserve">Payroll CSV + Roster (updated Mar 22)</t>
  </si>
  <si>
    <t xml:space="preserve">CURRENT ROSTER  –  CADIZ TERMINAL  (Mar 2026)</t>
  </si>
  <si>
    <t xml:space="preserve">#</t>
  </si>
  <si>
    <t xml:space="preserve">Name</t>
  </si>
  <si>
    <t xml:space="preserve">Role</t>
  </si>
  <si>
    <t xml:space="preserve">Notes</t>
  </si>
  <si>
    <t xml:space="preserve">Cam Betz</t>
  </si>
  <si>
    <t xml:space="preserve">Supervisor</t>
  </si>
  <si>
    <t xml:space="preserve">Shawn Osborne Jr.</t>
  </si>
  <si>
    <t xml:space="preserve">Daniel Hough</t>
  </si>
  <si>
    <t xml:space="preserve">Jonathan Williams</t>
  </si>
  <si>
    <t xml:space="preserve">Shane Young</t>
  </si>
  <si>
    <t xml:space="preserve">Loader</t>
  </si>
  <si>
    <t xml:space="preserve">Billy Glover</t>
  </si>
  <si>
    <t xml:space="preserve">Bryan Deoss</t>
  </si>
  <si>
    <t xml:space="preserve">Austin Treadway</t>
  </si>
  <si>
    <t xml:space="preserve">Jacob Diloreto</t>
  </si>
  <si>
    <t xml:space="preserve">Dustin Fletcher</t>
  </si>
  <si>
    <t xml:space="preserve">Jared Wright</t>
  </si>
  <si>
    <t xml:space="preserve">Nate Medel</t>
  </si>
  <si>
    <t xml:space="preserve">Greg Bates</t>
  </si>
  <si>
    <t xml:space="preserve">Tom Carney</t>
  </si>
  <si>
    <t xml:space="preserve">Shawn Osborne Sr. (OZ)</t>
  </si>
  <si>
    <t xml:space="preserve">Father of Shawn Jr.; started Feb 2026</t>
  </si>
  <si>
    <t xml:space="preserve">|  PUMP RUNTIME &amp; UTILIZATION  (P-101 / P-102 / P-103)</t>
  </si>
  <si>
    <t xml:space="preserve">Source: Master Load Log  ·  BOL# prefix: 111=P-101, 222=P-102, 333=P-103  ·  Downtime = total hrs in month minus pump runtime  ·  % = runtime / total hrs</t>
  </si>
  <si>
    <t xml:space="preserve">Total
Hrs/Mo</t>
  </si>
  <si>
    <t xml:space="preserve">P-102  (BOL 222)</t>
  </si>
  <si>
    <t xml:space="preserve">P-103  (BOL 333)</t>
  </si>
  <si>
    <t xml:space="preserve">Run Hrs</t>
  </si>
  <si>
    <t xml:space="preserve">Down Hrs</t>
  </si>
  <si>
    <t xml:space="preserve">Util %</t>
  </si>
  <si>
    <t xml:space="preserve">P-101 commissioned Apr 2025  ·  P-102 not yet commissioned  ·  P-103 not yet commissioned</t>
  </si>
  <si>
    <t xml:space="preserve">P-101 active  ·  P-102 commissioned Jul 2025  ·  P-103 not yet commissioned</t>
  </si>
  <si>
    <t xml:space="preserve">P-101 &amp; P-102 active  ·  P-103 not yet commissioned</t>
  </si>
  <si>
    <t xml:space="preserve">P-101 &amp; P-102 active  ·  P-103 commissioned Jan 2026</t>
  </si>
  <si>
    <t xml:space="preserve">All 3 pumps active</t>
  </si>
  <si>
    <t xml:space="preserve">All 3 pumps active · Partial month thru Mar 20</t>
  </si>
  <si>
    <t xml:space="preserve">TOTALS</t>
  </si>
  <si>
    <t xml:space="preserve">Avg util % across all months shown</t>
  </si>
  <si>
    <t xml:space="preserve">|  GENERATOR MAINTENANCE CALENDAR  (DGK25F — Shindaiwa/Isuzu 4LE2T)</t>
  </si>
  <si>
    <t xml:space="preserve">All maintenance reset: March 19, 2026  ·  Generators run 24 hrs/day  ·  One generator per pump (P-101 / P-102 / P-103)</t>
  </si>
  <si>
    <t xml:space="preserve">  MAINTENANCE COST SUMMARY  —  All 3 Generators Combined  (Parts Only · Actual NAPA Pricing)</t>
  </si>
  <si>
    <t xml:space="preserve">Green = confirmed from NAPA invoices  ·  Yellow (~) = estimated, pending invoice  ·  Running 24 hrs/day = 8,760 hrs/yr per generator  ·  Distributor labor (valve clearance, injectors, insulation) not included</t>
  </si>
  <si>
    <t xml:space="preserve">~$1,201</t>
  </si>
  <si>
    <t xml:space="preserve">Monthly Avg
(3 Gens)</t>
  </si>
  <si>
    <t xml:space="preserve">Annual Total
(3 Gens)</t>
  </si>
  <si>
    <t xml:space="preserve">Annual Total
(Per Gen)</t>
  </si>
  <si>
    <t xml:space="preserve">Confirmed
(Annual · 3 Gens)</t>
  </si>
  <si>
    <t xml:space="preserve">Estimated ~
(Annual · 3 Gens)</t>
  </si>
  <si>
    <t xml:space="preserve">Distributor
Labor</t>
  </si>
  <si>
    <t xml:space="preserve">  PER-EVENT COST  —  Cost Each Time Task Is Performed  (All 3 Generators)</t>
  </si>
  <si>
    <t xml:space="preserve">Task</t>
  </si>
  <si>
    <t xml:space="preserve">Cost / Event
(1 Generator)</t>
  </si>
  <si>
    <t xml:space="preserve">Cost / Event
(3 Generators)</t>
  </si>
  <si>
    <t xml:space="preserve">Annual Cost
(3 Gens)</t>
  </si>
  <si>
    <t xml:space="preserve">Engine Oil Replace</t>
  </si>
  <si>
    <t xml:space="preserve">8.76×/mo</t>
  </si>
  <si>
    <t xml:space="preserve">Oil Filter Replace</t>
  </si>
  <si>
    <t xml:space="preserve">Every 500 hrs</t>
  </si>
  <si>
    <t xml:space="preserve">Air Filter Clean</t>
  </si>
  <si>
    <t xml:space="preserve">Every 250 hrs</t>
  </si>
  <si>
    <t xml:space="preserve">Air Filter Replace</t>
  </si>
  <si>
    <t xml:space="preserve">4.38×/mo</t>
  </si>
  <si>
    <t xml:space="preserve">Fuel Filter Replace (Main)</t>
  </si>
  <si>
    <t xml:space="preserve">Fuel Filter Replace (Pre)</t>
  </si>
  <si>
    <t xml:space="preserve">EM Pump Filter</t>
  </si>
  <si>
    <t xml:space="preserve">Exhaust Carbon Purge</t>
  </si>
  <si>
    <t xml:space="preserve">Fuel Tank Drain Packing</t>
  </si>
  <si>
    <t xml:space="preserve">Spill Containment Clean</t>
  </si>
  <si>
    <t xml:space="preserve">Coolant Replace</t>
  </si>
  <si>
    <t xml:space="preserve">Every 1000 hrs</t>
  </si>
  <si>
    <t xml:space="preserve">2.19×/mo</t>
  </si>
  <si>
    <t xml:space="preserve">Fan Belt Replace</t>
  </si>
  <si>
    <t xml:space="preserve">Every 1500 hrs</t>
  </si>
  <si>
    <t xml:space="preserve">1.46×/mo</t>
  </si>
  <si>
    <t xml:space="preserve">Valve Clearance</t>
  </si>
  <si>
    <t xml:space="preserve">TBD</t>
  </si>
  <si>
    <t xml:space="preserve">Fuel Injector Check</t>
  </si>
  <si>
    <t xml:space="preserve">Every 3000 hrs</t>
  </si>
  <si>
    <t xml:space="preserve">0.73×/mo</t>
  </si>
  <si>
    <t xml:space="preserve">Insulation Test</t>
  </si>
  <si>
    <t xml:space="preserve">TOTAL — ALL TASKS · ALL 3 GENERATORS · PARTS ONLY</t>
  </si>
  <si>
    <t xml:space="preserve">  DAILY TASKS  (perform every day before / during / after operation)</t>
  </si>
  <si>
    <t xml:space="preserve">Interval</t>
  </si>
  <si>
    <t xml:space="preserve">Part No.</t>
  </si>
  <si>
    <t xml:space="preserve">Engine Oil Check/Add</t>
  </si>
  <si>
    <t xml:space="preserve">Daily</t>
  </si>
  <si>
    <t xml:space="preserve">DAILY</t>
  </si>
  <si>
    <t xml:space="preserve">Daily visual — check before startup</t>
  </si>
  <si>
    <t xml:space="preserve">Fuel Filter Drain (Water/Sediment)</t>
  </si>
  <si>
    <t xml:space="preserve">Daily — drain if red float rises</t>
  </si>
  <si>
    <t xml:space="preserve">Spill Containment Check/Drain</t>
  </si>
  <si>
    <t xml:space="preserve">Daily — open check door, drain if liquid present</t>
  </si>
  <si>
    <t xml:space="preserve">Check for Fuel/Oil/Coolant Leaks</t>
  </si>
  <si>
    <t xml:space="preserve">Fan Belt Inspect Tension</t>
  </si>
  <si>
    <t xml:space="preserve">Check slack = 0.22–0.26 in at ~98N</t>
  </si>
  <si>
    <t xml:space="preserve">Battery Fluid Check/Add</t>
  </si>
  <si>
    <t xml:space="preserve">Pre-operation check; add distilled water if low</t>
  </si>
  <si>
    <t xml:space="preserve">  GEN-1 (P-101)  —  SCHEDULED MAINTENANCE</t>
  </si>
  <si>
    <t xml:space="preserve">First Due
(hrs)</t>
  </si>
  <si>
    <t xml:space="preserve">First Due
(date)</t>
  </si>
  <si>
    <t xml:space="preserve">Next Due
(hrs)</t>
  </si>
  <si>
    <t xml:space="preserve">Next Due
(date)</t>
  </si>
  <si>
    <t xml:space="preserve">Last Service
(enter date)</t>
  </si>
  <si>
    <t xml:space="preserve">Cost
/Event</t>
  </si>
  <si>
    <t xml:space="preserve">Est. Annual
Cost</t>
  </si>
  <si>
    <t xml:space="preserve">03/21/2026</t>
  </si>
  <si>
    <t xml:space="preserve">03/29/2026</t>
  </si>
  <si>
    <t xml:space="preserve">OK</t>
  </si>
  <si>
    <t xml:space="preserve">03/12/2026</t>
  </si>
  <si>
    <t xml:space="preserve">NAPA 75105 10W40 5QT × 4 · Inv#507572 · API CJ-4  |  2.7 gal total (incl. filter)</t>
  </si>
  <si>
    <t xml:space="preserve">04/08/2026</t>
  </si>
  <si>
    <t xml:space="preserve">8944567412</t>
  </si>
  <si>
    <t xml:space="preserve">NAPA 1334 Gold Oil Filter × 4 · Inv#507572 · (Isuzu 8944567412 cross-ref)</t>
  </si>
  <si>
    <t xml:space="preserve">P822768</t>
  </si>
  <si>
    <t xml:space="preserve">Blow compressed air from inside out</t>
  </si>
  <si>
    <t xml:space="preserve">Donaldson P822768 × 4 · Inv#507572 · Replace if carbon/oil fouled; earlier if dusty</t>
  </si>
  <si>
    <t xml:space="preserve">PENDING
(NAPA)</t>
  </si>
  <si>
    <t xml:space="preserve">8982402800</t>
  </si>
  <si>
    <t xml:space="preserve">Includes O-ring  |  Bleed air after replacement</t>
  </si>
  <si>
    <t xml:space="preserve">8982402790</t>
  </si>
  <si>
    <t xml:space="preserve">EM Pump Filter Clean/Replace</t>
  </si>
  <si>
    <t xml:space="preserve">8980714010</t>
  </si>
  <si>
    <t xml:space="preserve">Counter-clockwise to remove cover</t>
  </si>
  <si>
    <t xml:space="preserve">Run &gt;70% rated output for 30 min until exhaust clears</t>
  </si>
  <si>
    <t xml:space="preserve">Fuel Tank Drain Water</t>
  </si>
  <si>
    <t xml:space="preserve">V106-000110</t>
  </si>
  <si>
    <t xml:space="preserve">Replace drain plug packing each time</t>
  </si>
  <si>
    <t xml:space="preserve">High-pressure clean; check for rust; leak test</t>
  </si>
  <si>
    <t xml:space="preserve">Coolant Replace / Radiator Flush</t>
  </si>
  <si>
    <t xml:space="preserve">04/29/2026</t>
  </si>
  <si>
    <t xml:space="preserve">03/09/2026</t>
  </si>
  <si>
    <t xml:space="preserve">RTU EXT LIFE GAL × 4 · Inv#507048 · Purchased for upcoming service · GM SPEC 6277M  |  50:50 LLC  |  2.6 gal total</t>
  </si>
  <si>
    <t xml:space="preserve">05/20/2026</t>
  </si>
  <si>
    <t xml:space="preserve">Request authorized distributor</t>
  </si>
  <si>
    <t xml:space="preserve">Valve Clearance Check/Adjust</t>
  </si>
  <si>
    <t xml:space="preserve">07/22/2026</t>
  </si>
  <si>
    <t xml:space="preserve">  GEN-2 (P-102)  —  SCHEDULED MAINTENANCE</t>
  </si>
  <si>
    <t xml:space="preserve">  GEN-3 (P-103)  —  SCHEDULED MAINTENANCE</t>
  </si>
  <si>
    <t xml:space="preserve">  MAINTENANCE SUMMARY  —  Next 90 Days</t>
  </si>
  <si>
    <t xml:space="preserve">Generator</t>
  </si>
  <si>
    <t xml:space="preserve">Due Date</t>
  </si>
  <si>
    <t xml:space="preserve">Days Away</t>
  </si>
  <si>
    <t xml:space="preserve">GEN-1 (P-101)</t>
  </si>
  <si>
    <t xml:space="preserve">2 days</t>
  </si>
  <si>
    <t xml:space="preserve">GEN-2 (P-102)</t>
  </si>
  <si>
    <t xml:space="preserve">GEN-3 (P-103)</t>
  </si>
  <si>
    <t xml:space="preserve">10 days</t>
  </si>
  <si>
    <t xml:space="preserve">20 days</t>
  </si>
  <si>
    <t xml:space="preserve">41 days</t>
  </si>
  <si>
    <t xml:space="preserve">62 days</t>
  </si>
  <si>
    <t xml:space="preserve">  GENERATOR MAINTENANCE — ESTIMATED ANNUAL COST SUMMARY  (Parts Only · Actual NAPA Pricing)</t>
  </si>
  <si>
    <t xml:space="preserve">Green = confirmed from NAPA invoices  ·  Yellow (~) = estimated pending invoice  ·  Distributor labor not included  ·  Running 24 hrs/day = 8,760 hrs/yr</t>
  </si>
  <si>
    <t xml:space="preserve">Cost/Event</t>
  </si>
  <si>
    <t xml:space="preserve">Events/yr
(1 gen)</t>
  </si>
  <si>
    <t xml:space="preserve">Annual Cost
(1 gen)</t>
  </si>
  <si>
    <t xml:space="preserve">Annual Cost
(3 gens)</t>
  </si>
  <si>
    <t xml:space="preserve">Monthly Avg
(3 gens)</t>
  </si>
  <si>
    <t xml:space="preserve">Price
Source</t>
  </si>
  <si>
    <t xml:space="preserve">35.0×</t>
  </si>
  <si>
    <t xml:space="preserve">NAPA (actual)</t>
  </si>
  <si>
    <t xml:space="preserve">NAPA 75105 × 1.33 jugs + NAPA 1334 filter · Inv#507572</t>
  </si>
  <si>
    <t xml:space="preserve">17.5×</t>
  </si>
  <si>
    <t xml:space="preserve">NAPA 1334 Gold Oil Filter · Inv#507572 · included in 500hr oil change</t>
  </si>
  <si>
    <t xml:space="preserve">No parts</t>
  </si>
  <si>
    <t xml:space="preserve">Compressed air only</t>
  </si>
  <si>
    <t xml:space="preserve">Donaldson P822768 · Inv#507572</t>
  </si>
  <si>
    <t xml:space="preserve">~Est. (pending)</t>
  </si>
  <si>
    <t xml:space="preserve">Isuzu 8982402800 · NAPA pending invoice</t>
  </si>
  <si>
    <t xml:space="preserve">Isuzu 8982402790 · NAPA pending invoice</t>
  </si>
  <si>
    <t xml:space="preserve">Isuzu 8980714010 · small inline filter</t>
  </si>
  <si>
    <t xml:space="preserve">Operational procedure only</t>
  </si>
  <si>
    <t xml:space="preserve">Drain plug packing V106-000110</t>
  </si>
  <si>
    <t xml:space="preserve">Labor only</t>
  </si>
  <si>
    <t xml:space="preserve">8.8×</t>
  </si>
  <si>
    <t xml:space="preserve">RTU EXT LIFE × 2.6 gal/gen · Inv#507048</t>
  </si>
  <si>
    <t xml:space="preserve">5.8×</t>
  </si>
  <si>
    <t xml:space="preserve">Isuzu 4LE2T belt — distributor est.</t>
  </si>
  <si>
    <t xml:space="preserve">Distributor TBD</t>
  </si>
  <si>
    <t xml:space="preserve">Authorized distributor only</t>
  </si>
  <si>
    <t xml:space="preserve">2.9×</t>
  </si>
  <si>
    <t xml:space="preserve">TOTAL — PARTS ONLY  (excl. distributor labor)</t>
  </si>
  <si>
    <t xml:space="preserve">Includes confirmed + estimated · Distributor labor not included · Update when fuel filter invoice received</t>
  </si>
  <si>
    <t xml:space="preserve">  GORMAN-RUPP RS3A31B PUMP INSPECTION SCHEDULE  (P-101 / P-102 / P-103)</t>
  </si>
  <si>
    <t xml:space="preserve">Pump bearings are factory-sealed grease-packed — NO routine re-greasing interval.  Lubrication only required during overhaul/rebuild (15 oz grease, ~1/3 full).  Motor bearing schedule TBD — obtain motor make/model to confirm intervals.</t>
  </si>
  <si>
    <t xml:space="preserve">Applies To</t>
  </si>
  <si>
    <t xml:space="preserve">Last Checked
(enter date)</t>
  </si>
  <si>
    <t xml:space="preserve">What to Look For</t>
  </si>
  <si>
    <t xml:space="preserve">Action if Failed</t>
  </si>
  <si>
    <t xml:space="preserve">Bearing Housing — Heat Check</t>
  </si>
  <si>
    <t xml:space="preserve">P-101 / P-102 / P-103</t>
  </si>
  <si>
    <t xml:space="preserve">Touch bearing housing — should not be too hot to hold hand on</t>
  </si>
  <si>
    <t xml:space="preserve">Excessive heat = bearing distress</t>
  </si>
  <si>
    <t xml:space="preserve">Shut down, check lubricant level, inspect for contamination</t>
  </si>
  <si>
    <t xml:space="preserve">Unusual Noise / Vibration</t>
  </si>
  <si>
    <t xml:space="preserve">Listen and feel during operation — any new grinding, knocking, or vibration</t>
  </si>
  <si>
    <t xml:space="preserve">Grinding = bearing wear  |  Knock = impeller damage  |  Vibration = misalignment</t>
  </si>
  <si>
    <t xml:space="preserve">Shut down immediately — do not run with unexplained noise</t>
  </si>
  <si>
    <t xml:space="preserve">Mechanical Seal — Leakage Check</t>
  </si>
  <si>
    <t xml:space="preserve">Check seal area for drips or weeping crude oil around shaft</t>
  </si>
  <si>
    <t xml:space="preserve">Any dripping or wet staining around shaft seal area</t>
  </si>
  <si>
    <t xml:space="preserve">Minor seepage acceptable; steady drip = seal replacement required</t>
  </si>
  <si>
    <t xml:space="preserve">Suction/Discharge Connections</t>
  </si>
  <si>
    <t xml:space="preserve">Visually check all hose connections and piping for tightness and leaks</t>
  </si>
  <si>
    <t xml:space="preserve">Wet spots, oil seepage, or loose fittings</t>
  </si>
  <si>
    <t xml:space="preserve">Tighten connections; replace gaskets if leaking</t>
  </si>
  <si>
    <t xml:space="preserve">Bearing Housing — Full Inspection</t>
  </si>
  <si>
    <t xml:space="preserve">Every 250 hrs
(~10 days)</t>
  </si>
  <si>
    <t xml:space="preserve">Check bearing temp with thermometer — normal range up to ~180°F (82°C)</t>
  </si>
  <si>
    <t xml:space="preserve">Temp &gt;180°F, discoloration, oil/grease leakage from housing</t>
  </si>
  <si>
    <t xml:space="preserve">Disassemble and inspect bearings; replace if discolored or rough</t>
  </si>
  <si>
    <t xml:space="preserve">Mechanical Seal — Detailed Inspect</t>
  </si>
  <si>
    <t xml:space="preserve">Inspect seal face area carefully; check for scoring or wear patterns</t>
  </si>
  <si>
    <t xml:space="preserve">Scoring on shaft, steady leak, or seal face damage</t>
  </si>
  <si>
    <t xml:space="preserve">Replace seal assembly — do not reuse worn seals</t>
  </si>
  <si>
    <t xml:space="preserve">Impeller / Wear Plate Clearance</t>
  </si>
  <si>
    <t xml:space="preserve">Every 500 hrs
(~21 days)</t>
  </si>
  <si>
    <t xml:space="preserve">Check front impeller clearance (wear plate) and rear (seal plate) — manual Sect. B</t>
  </si>
  <si>
    <t xml:space="preserve">Reduced flow/pressure, increased noise, cavitation symptoms</t>
  </si>
  <si>
    <t xml:space="preserve">Adjust impeller clearance or replace wear plate</t>
  </si>
  <si>
    <t xml:space="preserve">Discharge Check Valve</t>
  </si>
  <si>
    <t xml:space="preserve">Inspect check valve for wear and proper seating — prevents backflow</t>
  </si>
  <si>
    <t xml:space="preserve">Backflow, loss of prime, or slow pressure buildup on restart</t>
  </si>
  <si>
    <t xml:space="preserve">Replace O-ring and/or check valve assembly</t>
  </si>
  <si>
    <t xml:space="preserve">Priming Vanes (Group Grind)</t>
  </si>
  <si>
    <t xml:space="preserve">Inspect rotor blades and slide for wear — pump should prime within 30 sec</t>
  </si>
  <si>
    <t xml:space="preserve">Slow or failed priming, loss of vacuum</t>
  </si>
  <si>
    <t xml:space="preserve">Replace group grind assembly as a complete unit</t>
  </si>
  <si>
    <t xml:space="preserve">Strainer Screen</t>
  </si>
  <si>
    <t xml:space="preserve">Reduced flow, increased priming time, cavitation</t>
  </si>
  <si>
    <t xml:space="preserve">Clean screen; replace if damaged</t>
  </si>
  <si>
    <t xml:space="preserve">Motor Bearing Lubrication</t>
  </si>
  <si>
    <t xml:space="preserve">TBD — obtain
motor model</t>
  </si>
  <si>
    <t xml:space="preserve">⚠ Motor make/model unknown — grease interval and fitting location TBD</t>
  </si>
  <si>
    <t xml:space="preserve">PENDING</t>
  </si>
  <si>
    <t xml:space="preserve">Motor running hot, noise from motor end, vibration</t>
  </si>
  <si>
    <t xml:space="preserve">Grease per motor manufacturer spec once model confirmed</t>
  </si>
  <si>
    <t xml:space="preserve">Motor General Inspection</t>
  </si>
  <si>
    <t xml:space="preserve">Check motor temp, listen for bearing noise, inspect wiring and conduit connections</t>
  </si>
  <si>
    <t xml:space="preserve">Motor overheating, unusual noise, burnt smell, loose wiring</t>
  </si>
  <si>
    <t xml:space="preserve">Shut down; check VFD fault codes on Vacon-100; call motor service</t>
  </si>
  <si>
    <t xml:space="preserve">  PUMP BEARING LUBRICATION NOTE  —  Gorman-Rupp RS3A31B (factory-sealed bearings)</t>
  </si>
  <si>
    <t xml:space="preserve">Bearing Housing (grease)</t>
  </si>
  <si>
    <t xml:space="preserve">Overhaul only
(not scheduled)</t>
  </si>
  <si>
    <t xml:space="preserve">~15 oz (425g) grease — approximately 1/3 full</t>
  </si>
  <si>
    <t xml:space="preserve">Remove air vent fitting, install lube fitting, fill cavity — only required when disassembling bearing housing for rebuild</t>
  </si>
  <si>
    <t xml:space="preserve">Rotor Ends (group grind)</t>
  </si>
  <si>
    <t xml:space="preserve">At disassembly
(not scheduled)</t>
  </si>
  <si>
    <t xml:space="preserve">Anti-Wear Lubricating &amp; Hydraulic Oil SAE 10
(Energol HLP-HD 32 or equivalent)</t>
  </si>
  <si>
    <t xml:space="preserve">Coat both ends of rotor before installation — applied during group grind reassembly only</t>
  </si>
  <si>
    <t xml:space="preserve">Mechanical Seal O-ring</t>
  </si>
  <si>
    <t xml:space="preserve">At seal replacement</t>
  </si>
  <si>
    <t xml:space="preserve">Light coat of oil</t>
  </si>
  <si>
    <t xml:space="preserve">Lubricate O-ring during installation only — do not apply grease to seal faces</t>
  </si>
  <si>
    <t xml:space="preserve">Motor Bearings</t>
  </si>
  <si>
    <t xml:space="preserve">TBD — per motor manufacturer spec</t>
  </si>
  <si>
    <t xml:space="preserve">⚠ Motor model unknown — confirm with motor nameplate and obtain service manual for grease type/quantity/interval</t>
  </si>
  <si>
    <t xml:space="preserve">  NAPA AUTO PARTS — MAINTENANCE PURCHASES LOG  (Modern Auto Truck Parts LLC, 245 E Market St, Cadiz OH)</t>
  </si>
  <si>
    <t xml:space="preserve">Invoice #</t>
  </si>
  <si>
    <t xml:space="preserve">Date</t>
  </si>
  <si>
    <t xml:space="preserve">Part #</t>
  </si>
  <si>
    <t xml:space="preserve">Description</t>
  </si>
  <si>
    <t xml:space="preserve">Qty</t>
  </si>
  <si>
    <t xml:space="preserve">Unit Price</t>
  </si>
  <si>
    <t xml:space="preserve">Net Price</t>
  </si>
  <si>
    <t xml:space="preserve">Line Total</t>
  </si>
  <si>
    <t xml:space="preserve">Tax</t>
  </si>
  <si>
    <t xml:space="preserve">Inv Total</t>
  </si>
  <si>
    <t xml:space="preserve">Maint. Task</t>
  </si>
  <si>
    <t xml:space="preserve">506503</t>
  </si>
  <si>
    <t xml:space="preserve">03/04/2026</t>
  </si>
  <si>
    <t xml:space="preserve">8822</t>
  </si>
  <si>
    <t xml:space="preserve">D Earth (Diatomaceous Earth)</t>
  </si>
  <si>
    <t xml:space="preserve">General Supply</t>
  </si>
  <si>
    <t xml:space="preserve">Spill absorbent — yard use</t>
  </si>
  <si>
    <t xml:space="preserve">507048</t>
  </si>
  <si>
    <t xml:space="preserve">RTU1EXT</t>
  </si>
  <si>
    <t xml:space="preserve">RTU EXT LIFE GAL (Extended Life Coolant)</t>
  </si>
  <si>
    <t xml:space="preserve">All 3 gens · GM SPEC 6277M compatible</t>
  </si>
  <si>
    <t xml:space="preserve">507572</t>
  </si>
  <si>
    <t xml:space="preserve">1334</t>
  </si>
  <si>
    <t xml:space="preserve">NAPA Gold Oil Filter</t>
  </si>
  <si>
    <t xml:space="preserve">All 3 gens + 1 spare · NAPA cross-ref for Isuzu 8944567412</t>
  </si>
  <si>
    <t xml:space="preserve">75105</t>
  </si>
  <si>
    <t xml:space="preserve">10W40 Engine Oil 5QT</t>
  </si>
  <si>
    <t xml:space="preserve">All 3 gens · 20qt total · API CJ-4 class · SAE 10W-40</t>
  </si>
  <si>
    <t xml:space="preserve">8993240</t>
  </si>
  <si>
    <t xml:space="preserve">Cable Tie Cannister</t>
  </si>
  <si>
    <t xml:space="preserve">General hardware</t>
  </si>
  <si>
    <t xml:space="preserve">Donaldson Engine Air Filter</t>
  </si>
  <si>
    <t xml:space="preserve">Exact manual part # P822768</t>
  </si>
  <si>
    <t xml:space="preserve">Donaldson Engine Air Filter ×3</t>
  </si>
  <si>
    <t xml:space="preserve">All 3 gens + 1 spare · from Carrollton branch</t>
  </si>
  <si>
    <t xml:space="preserve">BKMAT1520UM</t>
  </si>
  <si>
    <t xml:space="preserve">New Pig Absorbent (NEWPIG)</t>
  </si>
  <si>
    <t xml:space="preserve">Spill absorbent mat</t>
  </si>
  <si>
    <t xml:space="preserve">BKMAT1520WL</t>
  </si>
  <si>
    <t xml:space="preserve">New Pig Absorbt Pad</t>
  </si>
  <si>
    <t xml:space="preserve">Spill absorbent pad</t>
  </si>
  <si>
    <t xml:space="preserve">7750</t>
  </si>
  <si>
    <t xml:space="preserve">SAS Emergency Spill Kit</t>
  </si>
  <si>
    <t xml:space="preserve">Emergency spill response kit · yard safety</t>
  </si>
  <si>
    <t xml:space="preserve">TAX (7.25%)</t>
  </si>
  <si>
    <t xml:space="preserve">Inv#507572 total</t>
  </si>
  <si>
    <t xml:space="preserve">Fuel Filter Replace (Main &amp; Pre)</t>
  </si>
  <si>
    <t xml:space="preserve">⚠ Invoice pending — add details when available · All 3 gens · NAPA cross-ref for Isuzu 8982402800 (main) + 8982402790 (pre)</t>
  </si>
  <si>
    <t xml:space="preserve">INVOICE TOTALS</t>
  </si>
  <si>
    <t xml:space="preserve">Inv #506503
03/04: $53.14</t>
  </si>
  <si>
    <t xml:space="preserve">Inv #507048
03/09: $44.32</t>
  </si>
  <si>
    <t xml:space="preserve">Inv #507572
03/12: $717.20</t>
  </si>
  <si>
    <t xml:space="preserve">TOTAL SPEND</t>
  </si>
  <si>
    <t xml:space="preserve">|  HERITAGE COOPERATIVE — DIESEL FUEL TRACKER  (Generator Fuel)</t>
  </si>
  <si>
    <t xml:space="preserve">Product: Diesel Dyed Premium ULS  ·  Tank: Off-Road Overhead Tank  ·  Supplier: Heritage Cooperative, Inc.  ·  Acct: 9485467</t>
  </si>
  <si>
    <t xml:space="preserve">  INVOICE LOG</t>
  </si>
  <si>
    <t xml:space="preserve">Invoice Date</t>
  </si>
  <si>
    <t xml:space="preserve">Gallons</t>
  </si>
  <si>
    <t xml:space="preserve">Unit Price
($/gal)</t>
  </si>
  <si>
    <t xml:space="preserve">Fuel Amount</t>
  </si>
  <si>
    <t xml:space="preserve">Taxes &amp; Fees</t>
  </si>
  <si>
    <t xml:space="preserve">Invoice Total</t>
  </si>
  <si>
    <t xml:space="preserve">Days Since
Last Delivery</t>
  </si>
  <si>
    <t xml:space="preserve">Gal/Day
(interval)</t>
  </si>
  <si>
    <t xml:space="preserve">375309</t>
  </si>
  <si>
    <t xml:space="preserve">02/05/26</t>
  </si>
  <si>
    <t xml:space="preserve">378740</t>
  </si>
  <si>
    <t xml:space="preserve">02/16/26</t>
  </si>
  <si>
    <t xml:space="preserve">380254</t>
  </si>
  <si>
    <t xml:space="preserve">02/20/26</t>
  </si>
  <si>
    <t xml:space="preserve">382563</t>
  </si>
  <si>
    <t xml:space="preserve">02/27/26</t>
  </si>
  <si>
    <t xml:space="preserve">383557</t>
  </si>
  <si>
    <t xml:space="preserve">03/05/26</t>
  </si>
  <si>
    <t xml:space="preserve">TOTALS / AVERAGES</t>
  </si>
  <si>
    <t xml:space="preserve">28 days</t>
  </si>
  <si>
    <t xml:space="preserve">  FUEL RUN RATE  (based on 28-day actuals: Feb 5 – Mar 5, 2026)</t>
  </si>
  <si>
    <t xml:space="preserve">Cost (w/ taxes)</t>
  </si>
  <si>
    <t xml:space="preserve">Fuel Only</t>
  </si>
  <si>
    <t xml:space="preserve">$/Gal Used</t>
  </si>
  <si>
    <t xml:space="preserve">Per Day</t>
  </si>
  <si>
    <t xml:space="preserve">Avg over 28-day window</t>
  </si>
  <si>
    <t xml:space="preserve">Per Week</t>
  </si>
  <si>
    <t xml:space="preserve">× 7 days</t>
  </si>
  <si>
    <t xml:space="preserve">Per Month</t>
  </si>
  <si>
    <t xml:space="preserve">× 30.44 days</t>
  </si>
  <si>
    <t xml:space="preserve">  PRICE TREND  —  Unit Price Per Gallon (fuel only, excl. taxes)</t>
  </si>
  <si>
    <t xml:space="preserve">$/Gal</t>
  </si>
  <si>
    <t xml:space="preserve">Change vs Prior</t>
  </si>
  <si>
    <t xml:space="preserve">Trend</t>
  </si>
  <si>
    <t xml:space="preserve">+$0.1580</t>
  </si>
  <si>
    <t xml:space="preserve">↑</t>
  </si>
  <si>
    <t xml:space="preserve">+$0.2025</t>
  </si>
  <si>
    <t xml:space="preserve">+$0.0055</t>
  </si>
  <si>
    <t xml:space="preserve">+$0.4189</t>
  </si>
  <si>
    <t xml:space="preserve">  FORWARD PROJECTION  —  At Most Recent Price ($3.4814/gal)</t>
  </si>
  <si>
    <t xml:space="preserve">Est. Gallons</t>
  </si>
  <si>
    <t xml:space="preserve">Est. Cost (fuel)</t>
  </si>
  <si>
    <t xml:space="preserve">Est. Cost (w/ taxes ~6.8%)</t>
  </si>
  <si>
    <t xml:space="preserve">Using 28-day avg consumption rate</t>
  </si>
  <si>
    <t xml:space="preserve">  PER GENERATOR BREAKDOWN  (3 generators running 24 hrs/day)</t>
  </si>
  <si>
    <t xml:space="preserve">Gal/Hr</t>
  </si>
  <si>
    <t xml:space="preserve">Gal/Day</t>
  </si>
  <si>
    <t xml:space="preserve">Gal/Week</t>
  </si>
  <si>
    <t xml:space="preserve">Gal/Month</t>
  </si>
  <si>
    <t xml:space="preserve">Cost/Day</t>
  </si>
  <si>
    <t xml:space="preserve">Cost/Week</t>
  </si>
  <si>
    <t xml:space="preserve">Cost/Month</t>
  </si>
  <si>
    <t xml:space="preserve">Price Used</t>
  </si>
  <si>
    <t xml:space="preserve">All 3 Combined</t>
  </si>
  <si>
    <t xml:space="preserve">Avg $2.9828</t>
  </si>
  <si>
    <t xml:space="preserve">Per Generator</t>
  </si>
  <si>
    <t xml:space="preserve">Per Gen (curr)</t>
  </si>
  <si>
    <t xml:space="preserve">Curr $3.4814</t>
  </si>
  <si>
    <t xml:space="preserve">|  PUMP REVENUE EFFICIENCY  —  Cadiz Terminal</t>
  </si>
  <si>
    <t xml:space="preserve">Utilization (Adjusted) = pump runtime ÷ true available hours  ·  True Available Hrs = (24 hrs − 3 hrs railroad switch) × active pumps  ·  Truck Gap = available hrs not pumping (trucks not onsite)  ·  Est. Revenue Lost = truck gap hrs × avg rev/pump hr</t>
  </si>
  <si>
    <t xml:space="preserve">  MONTHLY EFFICIENCY BREAKDOWN</t>
  </si>
  <si>
    <t xml:space="preserve">Active
Pumps</t>
  </si>
  <si>
    <t xml:space="preserve">HOURS</t>
  </si>
  <si>
    <t xml:space="preserve">UTILIZATION</t>
  </si>
  <si>
    <t xml:space="preserve">REVENUE EFFICIENCY</t>
  </si>
  <si>
    <t xml:space="preserve">Bbls /
Pump Hr</t>
  </si>
  <si>
    <t xml:space="preserve">EST. REVENUE LOST
(Truck Gaps)</t>
  </si>
  <si>
    <t xml:space="preserve">Pump
Runtime Hrs</t>
  </si>
  <si>
    <t xml:space="preserve">Switch
Downtime Hrs</t>
  </si>
  <si>
    <t xml:space="preserve">True Avail
Hrs</t>
  </si>
  <si>
    <t xml:space="preserve">Gross Util %
(÷ 24hr)</t>
  </si>
  <si>
    <t xml:space="preserve">Adj Util %
(÷ 21hr avail)</t>
  </si>
  <si>
    <t xml:space="preserve">Rev /
Pump Hr</t>
  </si>
  <si>
    <t xml:space="preserve">Rev /
Avail Hr</t>
  </si>
  <si>
    <t xml:space="preserve">Truck Gap
Hrs</t>
  </si>
  <si>
    <t xml:space="preserve">Est Rev
Lost ($)</t>
  </si>
  <si>
    <t xml:space="preserve">* Pump data incomplete for Apr</t>
  </si>
  <si>
    <t xml:space="preserve">* Outlier — revenue logged but minimal pump hrs</t>
  </si>
  <si>
    <t xml:space="preserve">* No pump data logged for Jun</t>
  </si>
  <si>
    <t xml:space="preserve">Peak month — best utilization</t>
  </si>
  <si>
    <t xml:space="preserve">Cost anomaly: $671k payroll reversal</t>
  </si>
  <si>
    <t xml:space="preserve">P-103 commissioned — avail hrs increase</t>
  </si>
  <si>
    <t xml:space="preserve">* Partial month thru Mar 16 — est rev lost n/a</t>
  </si>
  <si>
    <t xml:space="preserve">AVG (Jul 25–Feb 26)</t>
  </si>
  <si>
    <t xml:space="preserve">Total est. revenue opportunity (truck gap hrs) Jul 25–Feb 26</t>
  </si>
  <si>
    <t xml:space="preserve">  KEY INSIGHTS</t>
  </si>
  <si>
    <t xml:space="preserve">Metric</t>
  </si>
  <si>
    <t xml:space="preserve">Value</t>
  </si>
  <si>
    <t xml:space="preserve">Interpretation</t>
  </si>
  <si>
    <t xml:space="preserve">Adjusted Utilization</t>
  </si>
  <si>
    <t xml:space="preserve">38.8% avg</t>
  </si>
  <si>
    <t xml:space="preserve">Pumps were actively running 38.8% of true available time (21 hrs/day). 61.2% = trucks not onsite.</t>
  </si>
  <si>
    <t xml:space="preserve">Revenue / Pump Hr</t>
  </si>
  <si>
    <t xml:space="preserve">$522.66 avg</t>
  </si>
  <si>
    <t xml:space="preserve">Every hour the pumps are running generates ~$523 in revenue. This is your core value-per-hour metric.</t>
  </si>
  <si>
    <t xml:space="preserve">Revenue / Avail Hr</t>
  </si>
  <si>
    <t xml:space="preserve">$197.52 avg</t>
  </si>
  <si>
    <t xml:space="preserve">Revenue earned per available hour (incl. idle). Increasing truck volume directly raises this number.</t>
  </si>
  <si>
    <t xml:space="preserve">Bbls / Pump Hr</t>
  </si>
  <si>
    <t xml:space="preserve">438.7 avg</t>
  </si>
  <si>
    <t xml:space="preserve">Average throughput rate when pumping. Relatively stable — efficiency gain comes from more pump hours, not faster pumping.</t>
  </si>
  <si>
    <t xml:space="preserve">Est. Revenue Opportunity</t>
  </si>
  <si>
    <t xml:space="preserve">$3.7M (8 mo)</t>
  </si>
  <si>
    <t xml:space="preserve">Estimated revenue represented by truck gap hours Jul 25–Feb 26. More trucks onsite = direct revenue uplift.</t>
  </si>
  <si>
    <t xml:space="preserve">Railroad Switch</t>
  </si>
  <si>
    <t xml:space="preserve">3 hrs/day</t>
  </si>
  <si>
    <t xml:space="preserve">3 hrs/day (93 hrs/month) is unavoidable structural downtime. Excluded from adjusted utilization denominator.</t>
  </si>
  <si>
    <t xml:space="preserve">  CAPACITY ANALYSIS  —  Maximum Throughput vs Actual Performance</t>
  </si>
  <si>
    <t xml:space="preserve">Theoretical Max = 3 pumps × 21 available hrs/day (24 hrs − 3 hr railroad switch) ÷ 34.8 min effective cycle time  (28.7 min avg pump time + 5 min setup/breakdown + 1.1 min split load overhead weighted at 24% frequency)</t>
  </si>
  <si>
    <t xml:space="preserve">  LOAD CYCLE TIME BUILD-UP  —  Per Complete Truck Load</t>
  </si>
  <si>
    <t xml:space="preserve">Component</t>
  </si>
  <si>
    <t xml:space="preserve">Mins</t>
  </si>
  <si>
    <t xml:space="preserve">Straight Load — Avg Pump Time</t>
  </si>
  <si>
    <t xml:space="preserve">Actual pump runtime from load log — straight loads only (excl. split rows)</t>
  </si>
  <si>
    <t xml:space="preserve">Split Load — Avg Pump Time</t>
  </si>
  <si>
    <t xml:space="preserve">Pump time for combined Split #1 + Split #2 rows — includes railcar changeover</t>
  </si>
  <si>
    <t xml:space="preserve">  Split overhead vs straight</t>
  </si>
  <si>
    <t xml:space="preserve">Extra time per split: railcar shutoff · truck/pump reposition · reconnect · restart</t>
  </si>
  <si>
    <t xml:space="preserve">Split Load Frequency</t>
  </si>
  <si>
    <t xml:space="preserve">24%</t>
  </si>
  <si>
    <t xml:space="preserve">24% of all truck loads result in a split (railcar fills mid-load)</t>
  </si>
  <si>
    <t xml:space="preserve">Weighted Avg Pump Time</t>
  </si>
  <si>
    <t xml:space="preserve">76% × 28.7 min + 24% × 33.0 min</t>
  </si>
  <si>
    <t xml:space="preserve">Setup &amp; Breakdown (per load)</t>
  </si>
  <si>
    <t xml:space="preserve">Hose disconnect · driver ticket · next truck pull-up · hose connect · valve verify · Multiload entry · pump start</t>
  </si>
  <si>
    <t xml:space="preserve">EFFECTIVE CYCLE TIME PER LOAD</t>
  </si>
  <si>
    <t xml:space="preserve">Weighted pump time + setup — this is the real constraint on max capacity</t>
  </si>
  <si>
    <t xml:space="preserve">  MAXIMUM CAPACITY vs ACTUALS  —  Pump Constraint vs Rail Constraint</t>
  </si>
  <si>
    <t xml:space="preserve">Pump Max
(34.8 min cycle)</t>
  </si>
  <si>
    <t xml:space="preserve">Rail Max
(1 switch/day)</t>
  </si>
  <si>
    <t xml:space="preserve">Rail+Pump Max
(2 switches/day)</t>
  </si>
  <si>
    <t xml:space="preserve">Feb 2026
Actual</t>
  </si>
  <si>
    <t xml:space="preserve">% of Rail
Max (1 sw)</t>
  </si>
  <si>
    <t xml:space="preserve">76*</t>
  </si>
  <si>
    <t xml:space="preserve">*76 trucks used back-track method (24-25 cars) — not repeatable in standard ops</t>
  </si>
  <si>
    <t xml:space="preserve">Trucks / Day</t>
  </si>
  <si>
    <t xml:space="preserve">16,036*</t>
  </si>
  <si>
    <t xml:space="preserve">*16,036 bbls used back-track loading (24-25 cars) — standard ops ceiling is 15,000 bbls (22 cars)</t>
  </si>
  <si>
    <t xml:space="preserve">Bbls / Day</t>
  </si>
  <si>
    <t xml:space="preserve">⚠ Best day (16,036) &gt; rail ceiling — pumps were idle waiting for switch</t>
  </si>
  <si>
    <t xml:space="preserve">Bbls / Month (31d)</t>
  </si>
  <si>
    <t xml:space="preserve">1 switch: 15k×31 | 2 switches: 19,533×31</t>
  </si>
  <si>
    <t xml:space="preserve">Pump-Hrs / Day</t>
  </si>
  <si>
    <t xml:space="preserve">Pump hrs independent of rail constraint</t>
  </si>
  <si>
    <t xml:space="preserve">Revenue / Day</t>
  </si>
  <si>
    <t xml:space="preserve">Trafigura tiered rates</t>
  </si>
  <si>
    <t xml:space="preserve">Revenue / Month</t>
  </si>
  <si>
    <t xml:space="preserve">31-day month</t>
  </si>
  <si>
    <t xml:space="preserve">  RAILROAD SWITCH CONSTRAINT  —  The Real Capacity Ceiling</t>
  </si>
  <si>
    <t xml:space="preserve">1 Switch/Day
(Current)</t>
  </si>
  <si>
    <t xml:space="preserve">2 Switches/Day
(Proposed)</t>
  </si>
  <si>
    <t xml:space="preserve">Improvement</t>
  </si>
  <si>
    <t xml:space="preserve">Revenue Impact
/Month</t>
  </si>
  <si>
    <t xml:space="preserve">Switches per day</t>
  </si>
  <si>
    <t xml:space="preserve">1</t>
  </si>
  <si>
    <t xml:space="preserve">2</t>
  </si>
  <si>
    <t xml:space="preserve">+1 switch</t>
  </si>
  <si>
    <t xml:space="preserve">Railroad comes once vs twice daily</t>
  </si>
  <si>
    <t xml:space="preserve">Switch duration per event</t>
  </si>
  <si>
    <t xml:space="preserve">3 hrs</t>
  </si>
  <si>
    <t xml:space="preserve">3 hrs each</t>
  </si>
  <si>
    <t xml:space="preserve">−3 hrs avail</t>
  </si>
  <si>
    <t xml:space="preserve">Each visit = 3 hrs pumps idle</t>
  </si>
  <si>
    <t xml:space="preserve">Available pump hrs/day</t>
  </si>
  <si>
    <t xml:space="preserve">21 hrs</t>
  </si>
  <si>
    <t xml:space="preserve">18 hrs</t>
  </si>
  <si>
    <t xml:space="preserve">−3 hrs net</t>
  </si>
  <si>
    <t xml:space="preserve">24−3=21 (current) vs 24−6=18 (2 switches)</t>
  </si>
  <si>
    <t xml:space="preserve">Rail capacity/day (bbls)</t>
  </si>
  <si>
    <t xml:space="preserve">15,000</t>
  </si>
  <si>
    <t xml:space="preserve">30,000</t>
  </si>
  <si>
    <t xml:space="preserve">+15,000 bbls</t>
  </si>
  <si>
    <t xml:space="preserve">22 cars × ~682 bbls avg safe cap per fill</t>
  </si>
  <si>
    <t xml:space="preserve">Binding constraint</t>
  </si>
  <si>
    <t xml:space="preserve">RAIL (15k)</t>
  </si>
  <si>
    <t xml:space="preserve">PUMP (19.5k)</t>
  </si>
  <si>
    <t xml:space="preserve">Shifts to pump</t>
  </si>
  <si>
    <t xml:space="preserve">With 2 switches rail no longer the ceiling</t>
  </si>
  <si>
    <t xml:space="preserve">Max bbls/day</t>
  </si>
  <si>
    <t xml:space="preserve">19,533</t>
  </si>
  <si>
    <t xml:space="preserve">+4,533 bbls/day</t>
  </si>
  <si>
    <t xml:space="preserve">$105,395/mo</t>
  </si>
  <si>
    <t xml:space="preserve">93 trucks/day pump-limited with 2 switches</t>
  </si>
  <si>
    <t xml:space="preserve">Max trucks/day</t>
  </si>
  <si>
    <t xml:space="preserve">71</t>
  </si>
  <si>
    <t xml:space="preserve">93</t>
  </si>
  <si>
    <t xml:space="preserve">+22 trucks/day</t>
  </si>
  <si>
    <t xml:space="preserve">Rail cap = 71 | Pump cap with 18 hrs = 93</t>
  </si>
  <si>
    <t xml:space="preserve">Max revenue/month</t>
  </si>
  <si>
    <t xml:space="preserve">$465,000</t>
  </si>
  <si>
    <t xml:space="preserve">$570,395</t>
  </si>
  <si>
    <t xml:space="preserve">+$105,395</t>
  </si>
  <si>
    <t xml:space="preserve">+$105,395/mo</t>
  </si>
  <si>
    <t xml:space="preserve">At Trafigura tiered rates × 31 days</t>
  </si>
  <si>
    <t xml:space="preserve">vs Feb 2026 actual</t>
  </si>
  <si>
    <t xml:space="preserve">$376,650/mo</t>
  </si>
  <si>
    <t xml:space="preserve">$570,395/mo</t>
  </si>
  <si>
    <t xml:space="preserve">+$193,745</t>
  </si>
  <si>
    <t xml:space="preserve">+$193,745/mo</t>
  </si>
  <si>
    <t xml:space="preserve">Full upside from current rate to 2-switch max</t>
  </si>
  <si>
    <t xml:space="preserve">  SPLIT LOAD IMPACT  —  Cost of Railcar Changeovers on Capacity</t>
  </si>
  <si>
    <t xml:space="preserve">Impact</t>
  </si>
  <si>
    <t xml:space="preserve">Split frequency</t>
  </si>
  <si>
    <t xml:space="preserve">24.0% of loads</t>
  </si>
  <si>
    <t xml:space="preserve">2,260 of 9,404 total loads — nearly 1 in 4 trucks results in a railcar changeover</t>
  </si>
  <si>
    <t xml:space="preserve">Extra time per split load</t>
  </si>
  <si>
    <t xml:space="preserve">+4.3 min/load</t>
  </si>
  <si>
    <t xml:space="preserve">vs straight load — railcar shutoff · reposition · reconnect · restart</t>
  </si>
  <si>
    <t xml:space="preserve">Capacity reduction (loads/day)</t>
  </si>
  <si>
    <t xml:space="preserve">-3 loads/day</t>
  </si>
  <si>
    <t xml:space="preserve">109 pump max vs 112 if no splits</t>
  </si>
  <si>
    <t xml:space="preserve">Capacity reduction (bbls/day)</t>
  </si>
  <si>
    <t xml:space="preserve">-601 bbls/day</t>
  </si>
  <si>
    <t xml:space="preserve">At pump-max level only; below rail ceiling</t>
  </si>
  <si>
    <t xml:space="preserve">Revenue impact at max capacity</t>
  </si>
  <si>
    <t xml:space="preserve">-$451/day</t>
  </si>
  <si>
    <t xml:space="preserve">$13,975/month revenue ceiling reduction from split overhead</t>
  </si>
  <si>
    <t xml:space="preserve">Split load avg bbls</t>
  </si>
  <si>
    <t xml:space="preserve">213.8 bbls</t>
  </si>
  <si>
    <t xml:space="preserve">Slightly higher than straight (208.5) — splits happen because railcar is nearly full</t>
  </si>
  <si>
    <t xml:space="preserve">  REVENUE UPSIDE  —  What Each Additional Truck Per Day Is Worth  (Rail ceiling = 71/day · 2nd switch unlocks to 93/day)</t>
  </si>
  <si>
    <t xml:space="preserve">Scenario</t>
  </si>
  <si>
    <t xml:space="preserve">Trucks
/Day</t>
  </si>
  <si>
    <t xml:space="preserve">Bbls/Day</t>
  </si>
  <si>
    <t xml:space="preserve">Rev/Day</t>
  </si>
  <si>
    <t xml:space="preserve">Rev/Month</t>
  </si>
  <si>
    <t xml:space="preserve">vs Feb 2026
(monthly)</t>
  </si>
  <si>
    <t xml:space="preserve">Current — Feb 2026 Avg</t>
  </si>
  <si>
    <t xml:space="preserve">Baseline</t>
  </si>
  <si>
    <t xml:space="preserve">Rail ceiling — 1 switch (71/day)</t>
  </si>
  <si>
    <t xml:space="preserve">+25 trucks/day  (82/day)</t>
  </si>
  <si>
    <t xml:space="preserve">2nd switch unlocked — max (93/day)</t>
  </si>
  <si>
    <t xml:space="preserve">Best Day on Record (Feb 13)*</t>
  </si>
  <si>
    <t xml:space="preserve">Pump Max — 2 switches (93/day)</t>
  </si>
  <si>
    <t xml:space="preserve">* Feb 13, 2026 best day (76 trucks / 16,036 bbls) achieved via temporary back-track configuration using 24-25 railcars.  Not repeatable under standard operations (22 cars).  Standard operational ceiling = 15,000 bbls / 71 trucks / day with 1 railroad switch.  A 2nd daily switch raises ceiling to 93 trucks / 19,511 bbls / day (pump-limited).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</si>
</sst>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_);[RED]&quot;($&quot;#,##0\)"/>
    <numFmt numFmtId="166" formatCode="#,##0_);[RED]\(#,##0\)"/>
    <numFmt numFmtId="167" formatCode="#,##0.00_);[RED]\(#,##0.00\)"/>
    <numFmt numFmtId="168" formatCode="\$#,##0.00"/>
    <numFmt numFmtId="169" formatCode="0.0%"/>
    <numFmt numFmtId="170" formatCode="\$#,##0.00_);[RED]&quot;($&quot;#,##0.00\)"/>
    <numFmt numFmtId="171" formatCode="General"/>
    <numFmt numFmtId="172" formatCode="#,##0"/>
    <numFmt numFmtId="173" formatCode="#,##0.0"/>
    <numFmt numFmtId="174" formatCode="\$#,##0"/>
    <numFmt numFmtId="175" formatCode="&quot;~$&quot;#,##0"/>
    <numFmt numFmtId="176" formatCode="&quot;~$&quot;#,##0.00"/>
    <numFmt numFmtId="177" formatCode="@"/>
    <numFmt numFmtId="178" formatCode="\$#,##0.0000"/>
    <numFmt numFmtId="179" formatCode="0.00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333333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E74C3C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0"/>
      <color rgb="FF27AE60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color rgb="FF843C0C"/>
      <name val="Arial"/>
      <family val="0"/>
      <charset val="1"/>
    </font>
    <font>
      <i val="true"/>
      <sz val="8"/>
      <color rgb="FFFFFFFF"/>
      <name val="Arial"/>
      <family val="0"/>
      <charset val="1"/>
    </font>
    <font>
      <b val="true"/>
      <sz val="12"/>
      <color rgb="FF375623"/>
      <name val="Arial"/>
      <family val="0"/>
      <charset val="1"/>
    </font>
    <font>
      <b val="true"/>
      <sz val="8"/>
      <color rgb="FF375623"/>
      <name val="Arial"/>
      <family val="0"/>
      <charset val="1"/>
    </font>
    <font>
      <b val="true"/>
      <sz val="8"/>
      <color rgb="FF7F6000"/>
      <name val="Arial"/>
      <family val="0"/>
      <charset val="1"/>
    </font>
    <font>
      <b val="true"/>
      <sz val="9"/>
      <color rgb="FF333333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i val="true"/>
      <sz val="8"/>
      <color rgb="FF333333"/>
      <name val="Arial"/>
      <family val="0"/>
      <charset val="1"/>
    </font>
    <font>
      <b val="true"/>
      <i val="true"/>
      <sz val="9"/>
      <color rgb="FF7F6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8"/>
      <color rgb="FFC00000"/>
      <name val="Arial"/>
      <family val="0"/>
      <charset val="1"/>
    </font>
    <font>
      <i val="true"/>
      <sz val="8"/>
      <color rgb="FF1F3864"/>
      <name val="Arial"/>
      <family val="0"/>
      <charset val="1"/>
    </font>
    <font>
      <sz val="8"/>
      <color rgb="FF333333"/>
      <name val="Courier New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color rgb="FF7F6000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1F3864"/>
        <bgColor rgb="FF1A3A5C"/>
      </patternFill>
    </fill>
    <fill>
      <patternFill patternType="solid">
        <fgColor rgb="FF1A3A5C"/>
        <bgColor rgb="FF17375E"/>
      </patternFill>
    </fill>
    <fill>
      <patternFill patternType="solid">
        <fgColor rgb="FFFFFFFF"/>
        <bgColor rgb="FFFFF8E7"/>
      </patternFill>
    </fill>
    <fill>
      <patternFill patternType="solid">
        <fgColor rgb="FFFCE4D6"/>
        <bgColor rgb="FFFAE5D3"/>
      </patternFill>
    </fill>
    <fill>
      <patternFill patternType="solid">
        <fgColor rgb="FFEBF3FC"/>
        <bgColor rgb="FFEAF4FF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FF8E7"/>
      </patternFill>
    </fill>
    <fill>
      <patternFill patternType="solid">
        <fgColor rgb="FFFFF8E7"/>
        <bgColor rgb="FFF5F5F5"/>
      </patternFill>
    </fill>
    <fill>
      <patternFill patternType="solid">
        <fgColor rgb="FF2E4A6B"/>
        <bgColor rgb="FF1F4E79"/>
      </patternFill>
    </fill>
    <fill>
      <patternFill patternType="solid">
        <fgColor rgb="FF1F4E79"/>
        <bgColor rgb="FF2E4A6B"/>
      </patternFill>
    </fill>
    <fill>
      <patternFill patternType="solid">
        <fgColor rgb="FFD6E4F7"/>
        <bgColor rgb="FFDEEAF1"/>
      </patternFill>
    </fill>
    <fill>
      <patternFill patternType="solid">
        <fgColor rgb="FF1F2D3D"/>
        <bgColor rgb="FF333333"/>
      </patternFill>
    </fill>
    <fill>
      <patternFill patternType="solid">
        <fgColor rgb="FF27AE60"/>
        <bgColor rgb="FF70AD47"/>
      </patternFill>
    </fill>
    <fill>
      <patternFill patternType="solid">
        <fgColor rgb="FFF39C12"/>
        <bgColor rgb="FFED7D31"/>
      </patternFill>
    </fill>
    <fill>
      <patternFill patternType="solid">
        <fgColor rgb="FF3A7BD5"/>
        <bgColor rgb="FF2E75B6"/>
      </patternFill>
    </fill>
    <fill>
      <patternFill patternType="solid">
        <fgColor rgb="FFEAF4FF"/>
        <bgColor rgb="FFEBF3FC"/>
      </patternFill>
    </fill>
    <fill>
      <patternFill patternType="solid">
        <fgColor rgb="FF2E75B6"/>
        <bgColor rgb="FF3A7BD5"/>
      </patternFill>
    </fill>
    <fill>
      <patternFill patternType="solid">
        <fgColor rgb="FF70AD47"/>
        <bgColor rgb="FF888888"/>
      </patternFill>
    </fill>
    <fill>
      <patternFill patternType="solid">
        <fgColor rgb="FFED7D31"/>
        <bgColor rgb="FFF39C12"/>
      </patternFill>
    </fill>
    <fill>
      <patternFill patternType="solid">
        <fgColor rgb="FFF5F5F5"/>
        <bgColor rgb="FFF2F2F2"/>
      </patternFill>
    </fill>
    <fill>
      <patternFill patternType="solid">
        <fgColor rgb="FFDEEAF1"/>
        <bgColor rgb="FFD6E4F7"/>
      </patternFill>
    </fill>
    <fill>
      <patternFill patternType="solid">
        <fgColor rgb="FF17375E"/>
        <bgColor rgb="FF1A3A5C"/>
      </patternFill>
    </fill>
    <fill>
      <patternFill patternType="solid">
        <fgColor rgb="FFC6E0B4"/>
        <bgColor rgb="FFCCCCCC"/>
      </patternFill>
    </fill>
    <fill>
      <patternFill patternType="solid">
        <fgColor rgb="FFF2F2F2"/>
        <bgColor rgb="FFF5F5F5"/>
      </patternFill>
    </fill>
    <fill>
      <patternFill patternType="solid">
        <fgColor rgb="FFFFD966"/>
        <bgColor rgb="FFFAE5D3"/>
      </patternFill>
    </fill>
    <fill>
      <patternFill patternType="solid">
        <fgColor rgb="FF375623"/>
        <bgColor rgb="FF595959"/>
      </patternFill>
    </fill>
    <fill>
      <patternFill patternType="solid">
        <fgColor rgb="FFFAE5D3"/>
        <bgColor rgb="FFFCE4D6"/>
      </patternFill>
    </fill>
    <fill>
      <patternFill patternType="solid">
        <fgColor rgb="FF843C0C"/>
        <bgColor rgb="FF7F60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4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0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0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0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14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3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2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31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2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2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2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34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17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3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3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2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2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left" vertical="center" textRotation="0" wrapText="false" indent="14" shrinkToFit="false"/>
      <protection locked="true" hidden="false"/>
    </xf>
    <xf numFmtId="164" fontId="26" fillId="1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7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2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5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3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2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2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2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2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5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3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2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4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2F2F2"/>
      <rgbColor rgb="FFFF00FF"/>
      <rgbColor rgb="FF00FFFF"/>
      <rgbColor rgb="FF800000"/>
      <rgbColor rgb="FF375623"/>
      <rgbColor rgb="FF000080"/>
      <rgbColor rgb="FF7F6000"/>
      <rgbColor rgb="FF800080"/>
      <rgbColor rgb="FF1F4E79"/>
      <rgbColor rgb="FFCCCCCC"/>
      <rgbColor rgb="FF888888"/>
      <rgbColor rgb="FF9999FF"/>
      <rgbColor rgb="FF595959"/>
      <rgbColor rgb="FFFFF2CC"/>
      <rgbColor rgb="FFEAF4FF"/>
      <rgbColor rgb="FF660066"/>
      <rgbColor rgb="FFE74C3C"/>
      <rgbColor rgb="FF2E75B6"/>
      <rgbColor rgb="FFD6E4F7"/>
      <rgbColor rgb="FF000080"/>
      <rgbColor rgb="FFFF00FF"/>
      <rgbColor rgb="FFF5F5F5"/>
      <rgbColor rgb="FF00FFFF"/>
      <rgbColor rgb="FF800080"/>
      <rgbColor rgb="FF800000"/>
      <rgbColor rgb="FF2E4A6B"/>
      <rgbColor rgb="FF0000FF"/>
      <rgbColor rgb="FF00CCFF"/>
      <rgbColor rgb="FFEBF3FC"/>
      <rgbColor rgb="FFE2EFDA"/>
      <rgbColor rgb="FFFFF8E7"/>
      <rgbColor rgb="FFC6E0B4"/>
      <rgbColor rgb="FFFCE4D6"/>
      <rgbColor rgb="FFDEEAF1"/>
      <rgbColor rgb="FFFFD966"/>
      <rgbColor rgb="FF3A7BD5"/>
      <rgbColor rgb="FF33CCCC"/>
      <rgbColor rgb="FF99CC00"/>
      <rgbColor rgb="FFFAE5D3"/>
      <rgbColor rgb="FFF39C12"/>
      <rgbColor rgb="FFED7D31"/>
      <rgbColor rgb="FF666666"/>
      <rgbColor rgb="FF70AD47"/>
      <rgbColor rgb="FF17375E"/>
      <rgbColor rgb="FF27AE60"/>
      <rgbColor rgb="FF1A3A5C"/>
      <rgbColor rgb="FF1F2D3D"/>
      <rgbColor rgb="FF843C0C"/>
      <rgbColor rgb="FF993366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R8" activeCellId="0" sqref="R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6" min="3" style="0" width="12"/>
    <col collapsed="false" customWidth="true" hidden="false" outlineLevel="0" max="15" min="7" style="0" width="9"/>
    <col collapsed="false" customWidth="true" hidden="false" outlineLevel="0" max="17" min="16" style="0" width="15"/>
    <col collapsed="false" customWidth="true" hidden="false" outlineLevel="0" max="18" min="18" style="0" width="17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6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3.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3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4" t="s">
        <v>16</v>
      </c>
      <c r="P4" s="5"/>
    </row>
    <row r="5" customFormat="false" ht="15.75" hidden="false" customHeight="true" outlineLevel="0" collapsed="false">
      <c r="A5" s="6" t="s">
        <v>17</v>
      </c>
      <c r="B5" s="7" t="n">
        <v>4</v>
      </c>
      <c r="C5" s="8" t="n">
        <v>84059.48</v>
      </c>
      <c r="D5" s="8" t="n">
        <v>169781.48</v>
      </c>
      <c r="E5" s="9" t="n">
        <v>-86145.86</v>
      </c>
      <c r="F5" s="10" t="n">
        <v>-86145.86</v>
      </c>
      <c r="G5" s="11" t="n">
        <v>36041</v>
      </c>
      <c r="H5" s="11" t="n">
        <v>1201</v>
      </c>
      <c r="I5" s="12" t="n">
        <v>6.1</v>
      </c>
      <c r="J5" s="11" t="n">
        <v>184</v>
      </c>
      <c r="K5" s="13" t="n">
        <v>2.33</v>
      </c>
      <c r="L5" s="13" t="n">
        <v>4.71</v>
      </c>
      <c r="M5" s="13" t="n">
        <v>-2.39</v>
      </c>
      <c r="N5" s="14" t="s">
        <v>18</v>
      </c>
      <c r="O5" s="15" t="n">
        <v>0.0800666666666667</v>
      </c>
      <c r="P5" s="5"/>
    </row>
    <row r="6" customFormat="false" ht="15.75" hidden="false" customHeight="true" outlineLevel="0" collapsed="false">
      <c r="A6" s="16" t="s">
        <v>19</v>
      </c>
      <c r="B6" s="17" t="n">
        <v>4</v>
      </c>
      <c r="C6" s="18" t="n">
        <v>85594.5</v>
      </c>
      <c r="D6" s="18" t="n">
        <v>76686.72</v>
      </c>
      <c r="E6" s="18" t="n">
        <v>7950.54</v>
      </c>
      <c r="F6" s="19" t="n">
        <v>7950.54</v>
      </c>
      <c r="G6" s="20" t="n">
        <v>95027</v>
      </c>
      <c r="H6" s="20" t="n">
        <v>3066</v>
      </c>
      <c r="I6" s="21" t="n">
        <v>15.6</v>
      </c>
      <c r="J6" s="20" t="n">
        <v>485</v>
      </c>
      <c r="K6" s="22" t="n">
        <v>0.9</v>
      </c>
      <c r="L6" s="22" t="n">
        <v>0.81</v>
      </c>
      <c r="M6" s="22" t="n">
        <v>0.08</v>
      </c>
      <c r="N6" s="15" t="n">
        <v>0.006</v>
      </c>
      <c r="O6" s="15" t="n">
        <v>0.2044</v>
      </c>
      <c r="P6" s="5"/>
    </row>
    <row r="7" customFormat="false" ht="15.75" hidden="false" customHeight="true" outlineLevel="0" collapsed="false">
      <c r="A7" s="6" t="s">
        <v>20</v>
      </c>
      <c r="B7" s="7" t="n">
        <v>6</v>
      </c>
      <c r="C7" s="8" t="n">
        <v>141001.36</v>
      </c>
      <c r="D7" s="8" t="n">
        <v>163036.53</v>
      </c>
      <c r="E7" s="9" t="n">
        <v>-23345.8</v>
      </c>
      <c r="F7" s="10" t="n">
        <v>-23345.8</v>
      </c>
      <c r="G7" s="11" t="n">
        <v>141709</v>
      </c>
      <c r="H7" s="11" t="n">
        <v>4724</v>
      </c>
      <c r="I7" s="12" t="n">
        <v>24.1</v>
      </c>
      <c r="J7" s="11" t="n">
        <v>723</v>
      </c>
      <c r="K7" s="13" t="n">
        <v>1</v>
      </c>
      <c r="L7" s="13" t="n">
        <v>1.15</v>
      </c>
      <c r="M7" s="13" t="n">
        <v>-0.16</v>
      </c>
      <c r="N7" s="14" t="s">
        <v>18</v>
      </c>
      <c r="O7" s="15" t="n">
        <v>0.314933333333333</v>
      </c>
      <c r="P7" s="5"/>
    </row>
    <row r="8" customFormat="false" ht="15.75" hidden="false" customHeight="true" outlineLevel="0" collapsed="false">
      <c r="A8" s="16" t="s">
        <v>21</v>
      </c>
      <c r="B8" s="17" t="n">
        <v>8</v>
      </c>
      <c r="C8" s="18" t="n">
        <v>233009.82</v>
      </c>
      <c r="D8" s="18" t="n">
        <v>207679.45</v>
      </c>
      <c r="E8" s="18" t="n">
        <v>22968.16</v>
      </c>
      <c r="F8" s="19" t="n">
        <v>22968.16</v>
      </c>
      <c r="G8" s="20" t="n">
        <v>169856</v>
      </c>
      <c r="H8" s="20" t="n">
        <v>5479</v>
      </c>
      <c r="I8" s="21" t="n">
        <v>16.7</v>
      </c>
      <c r="J8" s="20" t="n">
        <v>866</v>
      </c>
      <c r="K8" s="22" t="n">
        <v>1.37</v>
      </c>
      <c r="L8" s="22" t="n">
        <v>1.22</v>
      </c>
      <c r="M8" s="22" t="n">
        <v>0.14</v>
      </c>
      <c r="N8" s="15" t="n">
        <v>0.271</v>
      </c>
      <c r="O8" s="15" t="n">
        <v>0.365266666666667</v>
      </c>
      <c r="P8" s="5"/>
    </row>
    <row r="9" customFormat="false" ht="15.75" hidden="false" customHeight="true" outlineLevel="0" collapsed="false">
      <c r="A9" s="6" t="s">
        <v>22</v>
      </c>
      <c r="B9" s="7" t="n">
        <v>10</v>
      </c>
      <c r="C9" s="8" t="n">
        <v>284021.38</v>
      </c>
      <c r="D9" s="8" t="n">
        <v>299476.01</v>
      </c>
      <c r="E9" s="8" t="n">
        <v>-20414.92</v>
      </c>
      <c r="F9" s="10" t="n">
        <v>-20414.92</v>
      </c>
      <c r="G9" s="11" t="n">
        <v>292714</v>
      </c>
      <c r="H9" s="11" t="n">
        <v>9443</v>
      </c>
      <c r="I9" s="12" t="n">
        <v>30.4</v>
      </c>
      <c r="J9" s="11" t="n">
        <v>1493</v>
      </c>
      <c r="K9" s="13" t="n">
        <v>0.97</v>
      </c>
      <c r="L9" s="13" t="n">
        <v>1.02</v>
      </c>
      <c r="M9" s="13" t="n">
        <v>-0.07</v>
      </c>
      <c r="N9" s="23" t="n">
        <v>0.56</v>
      </c>
      <c r="O9" s="23" t="n">
        <v>0.629533333333333</v>
      </c>
      <c r="P9" s="5"/>
    </row>
    <row r="10" customFormat="false" ht="15.75" hidden="false" customHeight="true" outlineLevel="0" collapsed="false">
      <c r="A10" s="16" t="s">
        <v>23</v>
      </c>
      <c r="B10" s="17" t="n">
        <v>12</v>
      </c>
      <c r="C10" s="18" t="n">
        <v>345382.18</v>
      </c>
      <c r="D10" s="18" t="n">
        <v>314889.15</v>
      </c>
      <c r="E10" s="18" t="n">
        <v>19707.8</v>
      </c>
      <c r="F10" s="19" t="n">
        <v>19707.8</v>
      </c>
      <c r="G10" s="20" t="n">
        <v>241480</v>
      </c>
      <c r="H10" s="20" t="n">
        <v>8049</v>
      </c>
      <c r="I10" s="21" t="n">
        <v>41.1</v>
      </c>
      <c r="J10" s="20" t="n">
        <v>1232</v>
      </c>
      <c r="K10" s="22" t="n">
        <v>1.43</v>
      </c>
      <c r="L10" s="22" t="n">
        <v>1.3</v>
      </c>
      <c r="M10" s="22" t="n">
        <v>0.08</v>
      </c>
      <c r="N10" s="23" t="n">
        <v>0.458</v>
      </c>
      <c r="O10" s="23" t="n">
        <v>0.5366</v>
      </c>
      <c r="P10" s="5"/>
    </row>
    <row r="11" customFormat="false" ht="15.75" hidden="false" customHeight="true" outlineLevel="0" collapsed="false">
      <c r="A11" s="6" t="s">
        <v>24</v>
      </c>
      <c r="B11" s="7" t="n">
        <v>12</v>
      </c>
      <c r="C11" s="8" t="n">
        <v>231889.91</v>
      </c>
      <c r="D11" s="8" t="n">
        <v>435995.82</v>
      </c>
      <c r="E11" s="9" t="n">
        <v>-205270.59</v>
      </c>
      <c r="F11" s="10" t="n">
        <v>-205270.59</v>
      </c>
      <c r="G11" s="11" t="n">
        <v>220569</v>
      </c>
      <c r="H11" s="11" t="n">
        <v>7115</v>
      </c>
      <c r="I11" s="12" t="n">
        <v>22.9</v>
      </c>
      <c r="J11" s="11" t="n">
        <v>1125</v>
      </c>
      <c r="K11" s="13" t="n">
        <v>1.05</v>
      </c>
      <c r="L11" s="13" t="n">
        <v>1.98</v>
      </c>
      <c r="M11" s="13" t="n">
        <v>-0.93</v>
      </c>
      <c r="N11" s="15" t="n">
        <v>0.397</v>
      </c>
      <c r="O11" s="15" t="n">
        <v>0.474333333333333</v>
      </c>
      <c r="P11" s="5"/>
    </row>
    <row r="12" customFormat="false" ht="15.75" hidden="false" customHeight="true" outlineLevel="0" collapsed="false">
      <c r="A12" s="16" t="s">
        <v>25</v>
      </c>
      <c r="B12" s="17" t="n">
        <v>12</v>
      </c>
      <c r="C12" s="18" t="n">
        <v>219082.57</v>
      </c>
      <c r="D12" s="18" t="n">
        <v>274936.26</v>
      </c>
      <c r="E12" s="24" t="n">
        <v>-61267.29</v>
      </c>
      <c r="F12" s="10" t="n">
        <v>-61267.29</v>
      </c>
      <c r="G12" s="20" t="n">
        <v>176502</v>
      </c>
      <c r="H12" s="20" t="n">
        <v>5883</v>
      </c>
      <c r="I12" s="21" t="n">
        <v>18.2</v>
      </c>
      <c r="J12" s="20" t="n">
        <v>901</v>
      </c>
      <c r="K12" s="22" t="n">
        <v>1.24</v>
      </c>
      <c r="L12" s="22" t="n">
        <v>1.56</v>
      </c>
      <c r="M12" s="22" t="n">
        <v>-0.35</v>
      </c>
      <c r="N12" s="15" t="n">
        <v>0.329</v>
      </c>
      <c r="O12" s="15" t="n">
        <v>0.3922</v>
      </c>
      <c r="P12" s="5"/>
    </row>
    <row r="13" customFormat="false" ht="15.75" hidden="false" customHeight="true" outlineLevel="0" collapsed="false">
      <c r="A13" s="6" t="s">
        <v>26</v>
      </c>
      <c r="B13" s="7" t="n">
        <v>12</v>
      </c>
      <c r="C13" s="8" t="n">
        <v>265411.9</v>
      </c>
      <c r="D13" s="8" t="n">
        <v>-150595.85</v>
      </c>
      <c r="E13" s="8" t="n">
        <v>299307.88</v>
      </c>
      <c r="F13" s="19" t="n">
        <v>299307.88</v>
      </c>
      <c r="G13" s="11" t="n">
        <v>195816</v>
      </c>
      <c r="H13" s="11" t="n">
        <v>6317</v>
      </c>
      <c r="I13" s="12" t="n">
        <v>20.4</v>
      </c>
      <c r="J13" s="11" t="n">
        <v>999</v>
      </c>
      <c r="K13" s="13" t="n">
        <v>1.36</v>
      </c>
      <c r="L13" s="13" t="n">
        <v>-0.77</v>
      </c>
      <c r="M13" s="13" t="n">
        <v>1.53</v>
      </c>
      <c r="N13" s="15" t="n">
        <v>0.333</v>
      </c>
      <c r="O13" s="15" t="n">
        <v>0.421133333333333</v>
      </c>
      <c r="P13" s="5"/>
    </row>
    <row r="14" customFormat="false" ht="15.75" hidden="false" customHeight="true" outlineLevel="0" collapsed="false">
      <c r="A14" s="16" t="s">
        <v>27</v>
      </c>
      <c r="B14" s="17" t="n">
        <v>12</v>
      </c>
      <c r="C14" s="18" t="n">
        <v>307918.66</v>
      </c>
      <c r="D14" s="18" t="n">
        <v>310402.29</v>
      </c>
      <c r="E14" s="18" t="n">
        <v>-5171.48</v>
      </c>
      <c r="F14" s="10" t="n">
        <v>-5171.48</v>
      </c>
      <c r="G14" s="20" t="n">
        <v>308000</v>
      </c>
      <c r="H14" s="20" t="n">
        <v>9936</v>
      </c>
      <c r="I14" s="21" t="n">
        <v>32</v>
      </c>
      <c r="J14" s="20" t="n">
        <v>1571</v>
      </c>
      <c r="K14" s="22" t="n">
        <v>1</v>
      </c>
      <c r="L14" s="22" t="n">
        <v>1.01</v>
      </c>
      <c r="M14" s="22" t="n">
        <v>-0.02</v>
      </c>
      <c r="N14" s="15" t="n">
        <v>0.315</v>
      </c>
      <c r="O14" s="23" t="n">
        <v>0.6624</v>
      </c>
      <c r="P14" s="5"/>
    </row>
    <row r="15" customFormat="false" ht="15.75" hidden="false" customHeight="true" outlineLevel="0" collapsed="false">
      <c r="A15" s="6" t="s">
        <v>28</v>
      </c>
      <c r="B15" s="7" t="n">
        <v>13</v>
      </c>
      <c r="C15" s="8" t="n">
        <v>344761.32</v>
      </c>
      <c r="D15" s="8" t="n">
        <v>234498.18</v>
      </c>
      <c r="E15" s="8" t="n">
        <v>102949.81</v>
      </c>
      <c r="F15" s="19" t="n">
        <v>102949.81</v>
      </c>
      <c r="G15" s="11" t="n">
        <v>313600</v>
      </c>
      <c r="H15" s="11" t="n">
        <v>11200</v>
      </c>
      <c r="I15" s="12" t="n">
        <v>57.1</v>
      </c>
      <c r="J15" s="11" t="n">
        <v>1600</v>
      </c>
      <c r="K15" s="13" t="n">
        <v>1.1</v>
      </c>
      <c r="L15" s="13" t="n">
        <v>0.75</v>
      </c>
      <c r="M15" s="13" t="n">
        <v>0.33</v>
      </c>
      <c r="N15" s="23" t="n">
        <v>0.439</v>
      </c>
      <c r="O15" s="23" t="n">
        <v>0.746666666666667</v>
      </c>
      <c r="P15" s="5"/>
    </row>
    <row r="16" customFormat="false" ht="15.75" hidden="false" customHeight="true" outlineLevel="0" collapsed="false">
      <c r="A16" s="25" t="s">
        <v>29</v>
      </c>
      <c r="B16" s="26" t="n">
        <v>14</v>
      </c>
      <c r="C16" s="27" t="n">
        <v>361127.16</v>
      </c>
      <c r="D16" s="28" t="n">
        <v>244583.52</v>
      </c>
      <c r="E16" s="28" t="n">
        <v>116543.64</v>
      </c>
      <c r="F16" s="29" t="n">
        <v>116543.64</v>
      </c>
      <c r="G16" s="30" t="n">
        <v>326503</v>
      </c>
      <c r="H16" s="30" t="n">
        <v>10532.4</v>
      </c>
      <c r="I16" s="31" t="n">
        <v>52.2</v>
      </c>
      <c r="J16" s="30" t="n">
        <v>1620</v>
      </c>
      <c r="K16" s="32" t="n">
        <v>1.11</v>
      </c>
      <c r="L16" s="32" t="n">
        <v>0.749</v>
      </c>
      <c r="M16" s="32" t="n">
        <v>0.357</v>
      </c>
      <c r="N16" s="15" t="n">
        <v>0.411</v>
      </c>
      <c r="O16" s="23" t="n">
        <v>0.702157</v>
      </c>
      <c r="P16" s="5"/>
    </row>
    <row r="17" customFormat="false" ht="19.5" hidden="false" customHeight="true" outlineLevel="0" collapsed="false">
      <c r="A17" s="33" t="s">
        <v>30</v>
      </c>
      <c r="B17" s="34" t="n">
        <f aca="false">B16</f>
        <v>14</v>
      </c>
      <c r="C17" s="35" t="n">
        <f aca="false">SUM(C5:C16)</f>
        <v>2903260.24</v>
      </c>
      <c r="D17" s="35" t="n">
        <f aca="false">SUM(D5:D16)</f>
        <v>2581369.56</v>
      </c>
      <c r="E17" s="35" t="n">
        <f aca="false">SUM(E5:E16)</f>
        <v>167811.89</v>
      </c>
      <c r="F17" s="36" t="n">
        <f aca="false">SUM(F5:F16)</f>
        <v>167811.89</v>
      </c>
      <c r="G17" s="37" t="n">
        <f aca="false">SUM(F5:F16)</f>
        <v>167811.89</v>
      </c>
      <c r="H17" s="37" t="n">
        <f aca="false">AVERAGE(G5:G16)</f>
        <v>209818.083333333</v>
      </c>
      <c r="I17" s="38" t="n">
        <f aca="false">AVERAGE(H5:H16)</f>
        <v>6912.11666666667</v>
      </c>
      <c r="J17" s="37" t="n">
        <f aca="false">SUM(I5:I16)</f>
        <v>336.8</v>
      </c>
      <c r="K17" s="39" t="n">
        <f aca="false">AVERAGE(J5:J16)</f>
        <v>1066.58333333333</v>
      </c>
      <c r="L17" s="39" t="n">
        <f aca="false">AVERAGE(K5:K16)</f>
        <v>1.23833333333333</v>
      </c>
      <c r="M17" s="39" t="n">
        <f aca="false">AVERAGE(L5:L16)</f>
        <v>1.29075</v>
      </c>
      <c r="N17" s="40" t="n">
        <f aca="false">AVERAGE(M5:M16)</f>
        <v>-0.116916666666667</v>
      </c>
      <c r="O17" s="41" t="s">
        <v>18</v>
      </c>
      <c r="P17" s="5"/>
    </row>
    <row r="18" customFormat="false" ht="6" hidden="false" customHeight="true" outlineLevel="0" collapsed="false">
      <c r="A18" s="42" t="s">
        <v>31</v>
      </c>
    </row>
    <row r="19" customFormat="false" ht="60" hidden="false" customHeight="true" outlineLevel="0" collapsed="false">
      <c r="A19" s="43" t="s">
        <v>32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</row>
    <row r="20" customFormat="false" ht="18" hidden="false" customHeight="true" outlineLevel="0" collapsed="false"/>
  </sheetData>
  <mergeCells count="3">
    <mergeCell ref="A1:R2"/>
    <mergeCell ref="A3:R3"/>
    <mergeCell ref="A19:R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36" hidden="false" customHeight="true" outlineLevel="0" collapsed="false">
      <c r="A1" s="1" t="s">
        <v>33</v>
      </c>
      <c r="B1" s="1"/>
      <c r="C1" s="1"/>
    </row>
    <row r="2" customFormat="false" ht="3.75" hidden="false" customHeight="true" outlineLevel="0" collapsed="false">
      <c r="A2" s="1"/>
      <c r="B2" s="1"/>
      <c r="C2" s="1"/>
    </row>
    <row r="3" customFormat="false" ht="21.75" hidden="false" customHeight="true" outlineLevel="0" collapsed="false">
      <c r="A3" s="44" t="s">
        <v>34</v>
      </c>
      <c r="B3" s="44" t="s">
        <v>35</v>
      </c>
      <c r="C3" s="44" t="s">
        <v>36</v>
      </c>
    </row>
    <row r="4" customFormat="false" ht="18" hidden="false" customHeight="true" outlineLevel="0" collapsed="false">
      <c r="A4" s="33" t="s">
        <v>37</v>
      </c>
      <c r="B4" s="45"/>
      <c r="C4" s="45"/>
    </row>
    <row r="5" customFormat="false" ht="18" hidden="false" customHeight="true" outlineLevel="0" collapsed="false">
      <c r="A5" s="46" t="s">
        <v>38</v>
      </c>
      <c r="B5" s="47" t="n">
        <v>359659.19</v>
      </c>
      <c r="C5" s="47" t="n">
        <v>344761.31</v>
      </c>
    </row>
    <row r="6" customFormat="false" ht="18" hidden="false" customHeight="true" outlineLevel="0" collapsed="false">
      <c r="A6" s="48" t="s">
        <v>39</v>
      </c>
      <c r="B6" s="49" t="n">
        <v>0</v>
      </c>
      <c r="C6" s="49" t="n">
        <v>0</v>
      </c>
    </row>
    <row r="7" customFormat="false" ht="18" hidden="false" customHeight="true" outlineLevel="0" collapsed="false">
      <c r="A7" s="50" t="s">
        <v>40</v>
      </c>
      <c r="B7" s="51" t="n">
        <v>359659.19</v>
      </c>
      <c r="C7" s="51" t="n">
        <v>344761.32</v>
      </c>
    </row>
    <row r="8" customFormat="false" ht="6" hidden="false" customHeight="true" outlineLevel="0" collapsed="false"/>
    <row r="9" customFormat="false" ht="18" hidden="false" customHeight="true" outlineLevel="0" collapsed="false">
      <c r="A9" s="33" t="s">
        <v>41</v>
      </c>
      <c r="B9" s="45"/>
      <c r="C9" s="45"/>
    </row>
    <row r="10" customFormat="false" ht="18" hidden="false" customHeight="true" outlineLevel="0" collapsed="false">
      <c r="A10" s="48" t="s">
        <v>42</v>
      </c>
      <c r="B10" s="49" t="n">
        <v>3172.49</v>
      </c>
      <c r="C10" s="49" t="n">
        <v>4220.02</v>
      </c>
    </row>
    <row r="11" customFormat="false" ht="18" hidden="false" customHeight="true" outlineLevel="0" collapsed="false">
      <c r="A11" s="46" t="s">
        <v>43</v>
      </c>
      <c r="B11" s="47" t="n">
        <v>28946.24</v>
      </c>
      <c r="C11" s="47" t="n">
        <v>27326.76</v>
      </c>
    </row>
    <row r="12" customFormat="false" ht="18" hidden="false" customHeight="true" outlineLevel="0" collapsed="false">
      <c r="A12" s="48" t="s">
        <v>44</v>
      </c>
      <c r="B12" s="49" t="n">
        <v>66654.99</v>
      </c>
      <c r="C12" s="49" t="n">
        <v>60806.81</v>
      </c>
    </row>
    <row r="13" customFormat="false" ht="18" hidden="false" customHeight="true" outlineLevel="0" collapsed="false">
      <c r="A13" s="46" t="s">
        <v>45</v>
      </c>
      <c r="B13" s="47" t="n">
        <v>6038.94</v>
      </c>
      <c r="C13" s="47" t="n">
        <v>5509.84</v>
      </c>
    </row>
    <row r="14" customFormat="false" ht="18" hidden="false" customHeight="true" outlineLevel="0" collapsed="false">
      <c r="A14" s="50" t="s">
        <v>46</v>
      </c>
      <c r="B14" s="51" t="n">
        <f aca="false">SUM(B10:B13)</f>
        <v>104812.66</v>
      </c>
      <c r="C14" s="51" t="n">
        <v>97863.43</v>
      </c>
    </row>
    <row r="15" customFormat="false" ht="6" hidden="false" customHeight="true" outlineLevel="0" collapsed="false"/>
    <row r="16" customFormat="false" ht="18" hidden="false" customHeight="true" outlineLevel="0" collapsed="false">
      <c r="A16" s="50" t="s">
        <v>47</v>
      </c>
      <c r="B16" s="51" t="n">
        <f aca="false">B7-B14</f>
        <v>254846.53</v>
      </c>
      <c r="C16" s="51" t="n">
        <v>246897.89</v>
      </c>
    </row>
    <row r="17" customFormat="false" ht="6" hidden="false" customHeight="true" outlineLevel="0" collapsed="false"/>
    <row r="18" customFormat="false" ht="18" hidden="false" customHeight="true" outlineLevel="0" collapsed="false">
      <c r="A18" s="33" t="s">
        <v>48</v>
      </c>
      <c r="B18" s="45"/>
      <c r="C18" s="45"/>
    </row>
    <row r="19" customFormat="false" ht="18" hidden="false" customHeight="true" outlineLevel="0" collapsed="false">
      <c r="A19" s="46" t="s">
        <v>49</v>
      </c>
      <c r="B19" s="47" t="n">
        <v>248.32</v>
      </c>
      <c r="C19" s="47" t="n">
        <v>248.32</v>
      </c>
    </row>
    <row r="20" customFormat="false" ht="18" hidden="false" customHeight="true" outlineLevel="0" collapsed="false">
      <c r="A20" s="48" t="s">
        <v>50</v>
      </c>
      <c r="B20" s="49" t="n">
        <v>215.91</v>
      </c>
      <c r="C20" s="49" t="n">
        <v>215.91</v>
      </c>
    </row>
    <row r="21" customFormat="false" ht="18" hidden="false" customHeight="true" outlineLevel="0" collapsed="false">
      <c r="A21" s="46" t="s">
        <v>51</v>
      </c>
      <c r="B21" s="47" t="n">
        <v>9018.2</v>
      </c>
      <c r="C21" s="47" t="n">
        <v>9018.2</v>
      </c>
    </row>
    <row r="22" customFormat="false" ht="18" hidden="false" customHeight="true" outlineLevel="0" collapsed="false">
      <c r="A22" s="48" t="s">
        <v>52</v>
      </c>
      <c r="B22" s="49" t="n">
        <v>4062.2</v>
      </c>
      <c r="C22" s="49" t="n">
        <v>4062.2</v>
      </c>
    </row>
    <row r="23" customFormat="false" ht="18" hidden="false" customHeight="true" outlineLevel="0" collapsed="false">
      <c r="A23" s="52" t="s">
        <v>53</v>
      </c>
      <c r="B23" s="53"/>
      <c r="C23" s="53"/>
    </row>
    <row r="24" customFormat="false" ht="18" hidden="false" customHeight="true" outlineLevel="0" collapsed="false">
      <c r="A24" s="54" t="s">
        <v>54</v>
      </c>
      <c r="B24" s="49" t="n">
        <v>189.74</v>
      </c>
      <c r="C24" s="49" t="n">
        <v>189.74</v>
      </c>
    </row>
    <row r="25" customFormat="false" ht="18" hidden="false" customHeight="true" outlineLevel="0" collapsed="false">
      <c r="A25" s="55" t="s">
        <v>55</v>
      </c>
      <c r="B25" s="47" t="n">
        <v>2130</v>
      </c>
      <c r="C25" s="47" t="n">
        <v>2130</v>
      </c>
    </row>
    <row r="26" customFormat="false" ht="18" hidden="false" customHeight="true" outlineLevel="0" collapsed="false">
      <c r="A26" s="56" t="s">
        <v>56</v>
      </c>
      <c r="B26" s="51" t="n">
        <f aca="false">B24+B25</f>
        <v>2319.74</v>
      </c>
      <c r="C26" s="51" t="n">
        <f aca="false">C24+C25</f>
        <v>2319.74</v>
      </c>
    </row>
    <row r="27" customFormat="false" ht="18" hidden="false" customHeight="true" outlineLevel="0" collapsed="false">
      <c r="A27" s="46" t="s">
        <v>57</v>
      </c>
      <c r="B27" s="47" t="n">
        <v>228.6</v>
      </c>
      <c r="C27" s="47" t="n">
        <v>228.6</v>
      </c>
    </row>
    <row r="28" customFormat="false" ht="18" hidden="false" customHeight="true" outlineLevel="0" collapsed="false">
      <c r="A28" s="57" t="s">
        <v>58</v>
      </c>
      <c r="B28" s="58"/>
      <c r="C28" s="58"/>
    </row>
    <row r="29" customFormat="false" ht="18" hidden="false" customHeight="true" outlineLevel="0" collapsed="false">
      <c r="A29" s="55" t="s">
        <v>59</v>
      </c>
      <c r="B29" s="47" t="n">
        <v>137.51</v>
      </c>
      <c r="C29" s="47" t="n">
        <v>137.51</v>
      </c>
    </row>
    <row r="30" customFormat="false" ht="18" hidden="false" customHeight="true" outlineLevel="0" collapsed="false">
      <c r="A30" s="54" t="s">
        <v>60</v>
      </c>
      <c r="B30" s="49" t="n">
        <v>220.12</v>
      </c>
      <c r="C30" s="49" t="n">
        <v>220.12</v>
      </c>
    </row>
    <row r="31" customFormat="false" ht="18" hidden="false" customHeight="true" outlineLevel="0" collapsed="false">
      <c r="A31" s="56" t="s">
        <v>61</v>
      </c>
      <c r="B31" s="51" t="n">
        <f aca="false">B29+B30</f>
        <v>357.63</v>
      </c>
      <c r="C31" s="51" t="n">
        <f aca="false">C29+C30</f>
        <v>357.63</v>
      </c>
    </row>
    <row r="32" customFormat="false" ht="18" hidden="false" customHeight="true" outlineLevel="0" collapsed="false">
      <c r="A32" s="57" t="s">
        <v>62</v>
      </c>
      <c r="B32" s="58"/>
      <c r="C32" s="58"/>
    </row>
    <row r="33" customFormat="false" ht="18" hidden="false" customHeight="true" outlineLevel="0" collapsed="false">
      <c r="A33" s="55" t="s">
        <v>63</v>
      </c>
      <c r="B33" s="47" t="n">
        <v>27955</v>
      </c>
      <c r="C33" s="47" t="n">
        <v>27955</v>
      </c>
    </row>
    <row r="34" customFormat="false" ht="18" hidden="false" customHeight="true" outlineLevel="0" collapsed="false">
      <c r="A34" s="54" t="s">
        <v>64</v>
      </c>
      <c r="B34" s="49" t="n">
        <v>6785.38</v>
      </c>
      <c r="C34" s="49" t="n">
        <v>6193.44</v>
      </c>
    </row>
    <row r="35" customFormat="false" ht="18" hidden="false" customHeight="true" outlineLevel="0" collapsed="false">
      <c r="A35" s="55" t="s">
        <v>65</v>
      </c>
      <c r="B35" s="47" t="n">
        <v>28997.34</v>
      </c>
      <c r="C35" s="47" t="n">
        <v>26453.17</v>
      </c>
    </row>
    <row r="36" customFormat="false" ht="18" hidden="false" customHeight="true" outlineLevel="0" collapsed="false">
      <c r="A36" s="56" t="s">
        <v>66</v>
      </c>
      <c r="B36" s="51" t="n">
        <f aca="false">B33+B34+B35</f>
        <v>63737.72</v>
      </c>
      <c r="C36" s="51" t="n">
        <f aca="false">C33+C34+C35</f>
        <v>60601.61</v>
      </c>
    </row>
    <row r="37" customFormat="false" ht="18" hidden="false" customHeight="true" outlineLevel="0" collapsed="false">
      <c r="A37" s="52" t="s">
        <v>67</v>
      </c>
      <c r="B37" s="53"/>
      <c r="C37" s="53"/>
    </row>
    <row r="38" customFormat="false" ht="18" hidden="false" customHeight="true" outlineLevel="0" collapsed="false">
      <c r="A38" s="54" t="s">
        <v>68</v>
      </c>
      <c r="B38" s="49" t="n">
        <v>9056.41</v>
      </c>
      <c r="C38" s="49" t="n">
        <v>9056.41</v>
      </c>
    </row>
    <row r="39" customFormat="false" ht="15" hidden="false" customHeight="true" outlineLevel="0" collapsed="false">
      <c r="A39" s="59" t="s">
        <v>69</v>
      </c>
      <c r="B39" s="60" t="n">
        <v>1619.48</v>
      </c>
      <c r="C39" s="60" t="n">
        <v>1619.48</v>
      </c>
    </row>
    <row r="40" customFormat="false" ht="18" hidden="false" customHeight="true" outlineLevel="0" collapsed="false">
      <c r="A40" s="56" t="s">
        <v>70</v>
      </c>
      <c r="B40" s="51" t="n">
        <f aca="false">B38+B39</f>
        <v>10675.89</v>
      </c>
      <c r="C40" s="51" t="n">
        <v>10675.89</v>
      </c>
    </row>
    <row r="41" customFormat="false" ht="18" hidden="false" customHeight="true" outlineLevel="0" collapsed="false">
      <c r="A41" s="48" t="s">
        <v>71</v>
      </c>
      <c r="B41" s="49" t="n">
        <v>32278.45</v>
      </c>
      <c r="C41" s="49" t="n">
        <v>32278.45</v>
      </c>
    </row>
    <row r="42" customFormat="false" ht="18" hidden="false" customHeight="true" outlineLevel="0" collapsed="false">
      <c r="A42" s="52" t="s">
        <v>72</v>
      </c>
      <c r="B42" s="53"/>
      <c r="C42" s="53"/>
    </row>
    <row r="43" customFormat="false" ht="18" hidden="false" customHeight="true" outlineLevel="0" collapsed="false">
      <c r="A43" s="54" t="s">
        <v>73</v>
      </c>
      <c r="B43" s="49" t="n">
        <v>2385.62</v>
      </c>
      <c r="C43" s="49" t="n">
        <v>2385.62</v>
      </c>
    </row>
    <row r="44" customFormat="false" ht="18" hidden="false" customHeight="true" outlineLevel="0" collapsed="false">
      <c r="A44" s="55" t="s">
        <v>74</v>
      </c>
      <c r="B44" s="47" t="n">
        <v>12018.9</v>
      </c>
      <c r="C44" s="47" t="n">
        <v>12018.9</v>
      </c>
    </row>
    <row r="45" customFormat="false" ht="18" hidden="false" customHeight="true" outlineLevel="0" collapsed="false">
      <c r="A45" s="56" t="s">
        <v>75</v>
      </c>
      <c r="B45" s="51" t="n">
        <f aca="false">B43+B44</f>
        <v>14404.52</v>
      </c>
      <c r="C45" s="51" t="n">
        <f aca="false">C43+C44</f>
        <v>14404.52</v>
      </c>
    </row>
    <row r="46" customFormat="false" ht="18" hidden="false" customHeight="true" outlineLevel="0" collapsed="false">
      <c r="A46" s="52" t="s">
        <v>76</v>
      </c>
      <c r="B46" s="53"/>
      <c r="C46" s="53"/>
    </row>
    <row r="47" customFormat="false" ht="18" hidden="false" customHeight="true" outlineLevel="0" collapsed="false">
      <c r="A47" s="54" t="s">
        <v>77</v>
      </c>
      <c r="B47" s="49" t="n">
        <v>271.09</v>
      </c>
      <c r="C47" s="49" t="n">
        <v>271.09</v>
      </c>
    </row>
    <row r="48" customFormat="false" ht="18" hidden="false" customHeight="true" outlineLevel="0" collapsed="false">
      <c r="A48" s="55" t="s">
        <v>78</v>
      </c>
      <c r="B48" s="47" t="n">
        <v>1567.95</v>
      </c>
      <c r="C48" s="47" t="n">
        <v>1567.95</v>
      </c>
    </row>
    <row r="49" customFormat="false" ht="18" hidden="false" customHeight="true" outlineLevel="0" collapsed="false">
      <c r="A49" s="54" t="s">
        <v>79</v>
      </c>
      <c r="B49" s="49" t="n">
        <v>384.64</v>
      </c>
      <c r="C49" s="49" t="n">
        <v>384.64</v>
      </c>
    </row>
    <row r="50" customFormat="false" ht="18" hidden="false" customHeight="true" outlineLevel="0" collapsed="false">
      <c r="A50" s="56" t="s">
        <v>80</v>
      </c>
      <c r="B50" s="51" t="n">
        <f aca="false">B47+B48+B49</f>
        <v>2223.68</v>
      </c>
      <c r="C50" s="51" t="n">
        <f aca="false">C47+C48+C49</f>
        <v>2223.68</v>
      </c>
    </row>
    <row r="51" customFormat="false" ht="6" hidden="false" customHeight="true" outlineLevel="0" collapsed="false">
      <c r="A51" s="50" t="s">
        <v>81</v>
      </c>
      <c r="B51" s="51" t="n">
        <f aca="false">B19+B20+B21+B22+B26+B27+B31+B36+B40+B41+B45+B50</f>
        <v>139770.86</v>
      </c>
      <c r="C51" s="51" t="n">
        <f aca="false">C19+C20+C21+C22+C26+C27+C31+C36+C40+C41+C45+C50</f>
        <v>136634.75</v>
      </c>
    </row>
    <row r="52" customFormat="false" ht="18" hidden="false" customHeight="true" outlineLevel="0" collapsed="false"/>
    <row r="53" customFormat="false" ht="6" hidden="false" customHeight="true" outlineLevel="0" collapsed="false">
      <c r="A53" s="50" t="s">
        <v>82</v>
      </c>
      <c r="B53" s="51" t="n">
        <f aca="false">B16-B51</f>
        <v>115075.67</v>
      </c>
      <c r="C53" s="51" t="n">
        <f aca="false">C16-C51</f>
        <v>110263.14</v>
      </c>
    </row>
    <row r="54" customFormat="false" ht="18" hidden="false" customHeight="true" outlineLevel="0" collapsed="false"/>
    <row r="55" customFormat="false" ht="18" hidden="false" customHeight="true" outlineLevel="0" collapsed="false">
      <c r="A55" s="33" t="s">
        <v>83</v>
      </c>
      <c r="B55" s="45"/>
      <c r="C55" s="45"/>
    </row>
    <row r="56" customFormat="false" ht="18" hidden="false" customHeight="true" outlineLevel="0" collapsed="false">
      <c r="A56" s="46" t="s">
        <v>84</v>
      </c>
      <c r="B56" s="47" t="n">
        <v>215.86</v>
      </c>
      <c r="C56" s="47" t="n">
        <v>215.86</v>
      </c>
    </row>
    <row r="57" customFormat="false" ht="18" hidden="false" customHeight="true" outlineLevel="0" collapsed="false">
      <c r="A57" s="57" t="s">
        <v>85</v>
      </c>
      <c r="B57" s="61" t="n">
        <v>47.67</v>
      </c>
      <c r="C57" s="61" t="n">
        <v>47.67</v>
      </c>
    </row>
    <row r="58" customFormat="false" ht="18" hidden="false" customHeight="true" outlineLevel="0" collapsed="false">
      <c r="A58" s="55" t="s">
        <v>86</v>
      </c>
      <c r="B58" s="47" t="n">
        <v>140</v>
      </c>
      <c r="C58" s="47" t="n">
        <v>140</v>
      </c>
    </row>
    <row r="59" customFormat="false" ht="18" hidden="false" customHeight="true" outlineLevel="0" collapsed="false">
      <c r="A59" s="54" t="s">
        <v>87</v>
      </c>
      <c r="B59" s="49" t="n">
        <v>971.07</v>
      </c>
      <c r="C59" s="49" t="n">
        <v>971.07</v>
      </c>
    </row>
    <row r="60" customFormat="false" ht="18" hidden="false" customHeight="true" outlineLevel="0" collapsed="false">
      <c r="A60" s="55" t="s">
        <v>88</v>
      </c>
      <c r="B60" s="47" t="n">
        <v>5938.73</v>
      </c>
      <c r="C60" s="47" t="n">
        <v>5938.73</v>
      </c>
    </row>
    <row r="61" customFormat="false" ht="18" hidden="false" customHeight="true" outlineLevel="0" collapsed="false">
      <c r="A61" s="56" t="s">
        <v>89</v>
      </c>
      <c r="B61" s="51" t="n">
        <f aca="false">B57+B58+B59+B60</f>
        <v>7097.47</v>
      </c>
      <c r="C61" s="51" t="n">
        <f aca="false">C57+C58+C59+C60</f>
        <v>7097.47</v>
      </c>
    </row>
    <row r="62" customFormat="false" ht="18" hidden="false" customHeight="true" outlineLevel="0" collapsed="false">
      <c r="A62" s="50" t="s">
        <v>90</v>
      </c>
      <c r="B62" s="51" t="n">
        <f aca="false">B56+B61</f>
        <v>7313.33</v>
      </c>
      <c r="C62" s="51" t="n">
        <f aca="false">C56+C61</f>
        <v>7313.33</v>
      </c>
    </row>
    <row r="63" customFormat="false" ht="6" hidden="false" customHeight="true" outlineLevel="0" collapsed="false">
      <c r="A63" s="50" t="s">
        <v>91</v>
      </c>
      <c r="B63" s="51" t="n">
        <f aca="false">-B62</f>
        <v>-7313.33</v>
      </c>
      <c r="C63" s="51" t="n">
        <f aca="false">-C62</f>
        <v>-7313.33</v>
      </c>
    </row>
    <row r="64" customFormat="false" ht="18" hidden="false" customHeight="true" outlineLevel="0" collapsed="false"/>
    <row r="65" customFormat="false" ht="15" hidden="false" customHeight="true" outlineLevel="0" collapsed="false">
      <c r="A65" s="62" t="s">
        <v>92</v>
      </c>
      <c r="B65" s="63" t="n">
        <f aca="false">B53+B63</f>
        <v>107762.34</v>
      </c>
      <c r="C65" s="63" t="n">
        <f aca="false">C53+C63</f>
        <v>102949.81</v>
      </c>
    </row>
  </sheetData>
  <mergeCells count="1">
    <mergeCell ref="A1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8"/>
    <col collapsed="false" customWidth="true" hidden="false" outlineLevel="0" max="7" min="5" style="0" width="18"/>
    <col collapsed="false" customWidth="true" hidden="false" outlineLevel="0" max="8" min="8" style="0" width="14"/>
  </cols>
  <sheetData>
    <row r="1" customFormat="false" ht="36" hidden="false" customHeight="true" outlineLevel="0" collapsed="false">
      <c r="A1" s="1" t="s">
        <v>93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1"/>
      <c r="B2" s="1"/>
      <c r="C2" s="1"/>
      <c r="D2" s="1"/>
      <c r="E2" s="1"/>
      <c r="F2" s="1"/>
    </row>
    <row r="3" customFormat="false" ht="21.75" hidden="false" customHeight="true" outlineLevel="0" collapsed="false">
      <c r="A3" s="44" t="s">
        <v>94</v>
      </c>
      <c r="B3" s="44" t="s">
        <v>95</v>
      </c>
      <c r="C3" s="44" t="s">
        <v>96</v>
      </c>
      <c r="D3" s="44" t="s">
        <v>97</v>
      </c>
      <c r="E3" s="44" t="s">
        <v>98</v>
      </c>
      <c r="F3" s="44" t="s">
        <v>99</v>
      </c>
      <c r="G3" s="44" t="s">
        <v>100</v>
      </c>
      <c r="H3" s="44" t="s">
        <v>101</v>
      </c>
    </row>
    <row r="4" customFormat="false" ht="19.5" hidden="false" customHeight="true" outlineLevel="0" collapsed="false">
      <c r="A4" s="17" t="s">
        <v>102</v>
      </c>
      <c r="B4" s="17" t="s">
        <v>103</v>
      </c>
      <c r="C4" s="17" t="n">
        <v>7</v>
      </c>
      <c r="D4" s="64" t="s">
        <v>104</v>
      </c>
      <c r="E4" s="18" t="n">
        <v>97412</v>
      </c>
      <c r="F4" s="18" t="n">
        <v>30487</v>
      </c>
      <c r="G4" s="18" t="n">
        <f aca="false">E4-F4</f>
        <v>66925</v>
      </c>
      <c r="H4" s="65" t="s">
        <v>105</v>
      </c>
    </row>
    <row r="5" customFormat="false" ht="19.5" hidden="false" customHeight="true" outlineLevel="0" collapsed="false">
      <c r="A5" s="7" t="s">
        <v>106</v>
      </c>
      <c r="B5" s="7" t="s">
        <v>107</v>
      </c>
      <c r="C5" s="7" t="n">
        <v>7</v>
      </c>
      <c r="D5" s="66" t="s">
        <v>108</v>
      </c>
      <c r="E5" s="8" t="n">
        <v>85885</v>
      </c>
      <c r="F5" s="8" t="n">
        <v>30487</v>
      </c>
      <c r="G5" s="8" t="n">
        <f aca="false">E5-F5</f>
        <v>55398</v>
      </c>
      <c r="H5" s="67" t="s">
        <v>109</v>
      </c>
    </row>
    <row r="6" customFormat="false" ht="19.5" hidden="false" customHeight="true" outlineLevel="0" collapsed="false">
      <c r="A6" s="17" t="s">
        <v>110</v>
      </c>
      <c r="B6" s="17" t="s">
        <v>111</v>
      </c>
      <c r="C6" s="17" t="n">
        <v>7</v>
      </c>
      <c r="D6" s="64" t="s">
        <v>112</v>
      </c>
      <c r="E6" s="18" t="n">
        <v>78402</v>
      </c>
      <c r="F6" s="18" t="n">
        <v>30487</v>
      </c>
      <c r="G6" s="18" t="n">
        <f aca="false">E6-F6</f>
        <v>47915</v>
      </c>
      <c r="H6" s="68" t="s">
        <v>109</v>
      </c>
    </row>
    <row r="7" customFormat="false" ht="19.5" hidden="false" customHeight="true" outlineLevel="0" collapsed="false">
      <c r="A7" s="7" t="s">
        <v>113</v>
      </c>
      <c r="B7" s="7" t="s">
        <v>114</v>
      </c>
      <c r="C7" s="7" t="n">
        <v>7</v>
      </c>
      <c r="D7" s="66" t="s">
        <v>115</v>
      </c>
      <c r="E7" s="8" t="n">
        <v>93697</v>
      </c>
      <c r="F7" s="8" t="n">
        <v>30487</v>
      </c>
      <c r="G7" s="8" t="n">
        <f aca="false">E7-F7</f>
        <v>63210</v>
      </c>
      <c r="H7" s="68" t="s">
        <v>116</v>
      </c>
    </row>
    <row r="8" customFormat="false" ht="19.5" hidden="false" customHeight="true" outlineLevel="0" collapsed="false">
      <c r="A8" s="17" t="s">
        <v>117</v>
      </c>
      <c r="B8" s="17" t="s">
        <v>118</v>
      </c>
      <c r="C8" s="17" t="n">
        <v>3</v>
      </c>
      <c r="D8" s="64" t="s">
        <v>119</v>
      </c>
      <c r="E8" s="18" t="n">
        <v>40156</v>
      </c>
      <c r="F8" s="18" t="n">
        <v>13066</v>
      </c>
      <c r="G8" s="18" t="n">
        <f aca="false">E8-F8</f>
        <v>27090</v>
      </c>
      <c r="H8" s="68" t="s">
        <v>116</v>
      </c>
    </row>
    <row r="9" customFormat="false" ht="19.5" hidden="false" customHeight="true" outlineLevel="0" collapsed="false">
      <c r="A9" s="44" t="s">
        <v>120</v>
      </c>
      <c r="B9" s="44" t="s">
        <v>121</v>
      </c>
      <c r="C9" s="44" t="n">
        <v>31</v>
      </c>
      <c r="D9" s="69" t="s">
        <v>122</v>
      </c>
      <c r="E9" s="70" t="n">
        <f aca="false">SUM(E4:E8)</f>
        <v>395552</v>
      </c>
      <c r="F9" s="70" t="n">
        <f aca="false">SUM(F4:F8)</f>
        <v>135014</v>
      </c>
      <c r="G9" s="70" t="n">
        <f aca="false">E9-F9</f>
        <v>260538</v>
      </c>
      <c r="H9" s="44"/>
    </row>
  </sheetData>
  <mergeCells count="1">
    <mergeCell ref="A1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5"/>
  </cols>
  <sheetData>
    <row r="1" customFormat="false" ht="36" hidden="false" customHeight="true" outlineLevel="0" collapsed="false">
      <c r="A1" s="1" t="s">
        <v>123</v>
      </c>
      <c r="B1" s="1"/>
      <c r="C1" s="1"/>
      <c r="D1" s="1"/>
    </row>
    <row r="2" customFormat="false" ht="15" hidden="false" customHeight="true" outlineLevel="0" collapsed="false">
      <c r="A2" s="1"/>
      <c r="B2" s="1"/>
      <c r="C2" s="1"/>
      <c r="D2" s="1"/>
    </row>
    <row r="3" customFormat="false" ht="21.75" hidden="false" customHeight="true" outlineLevel="0" collapsed="false">
      <c r="A3" s="44" t="s">
        <v>2</v>
      </c>
      <c r="B3" s="44" t="s">
        <v>3</v>
      </c>
      <c r="C3" s="44" t="s">
        <v>124</v>
      </c>
      <c r="D3" s="44" t="s">
        <v>125</v>
      </c>
    </row>
    <row r="4" customFormat="false" ht="18" hidden="false" customHeight="true" outlineLevel="0" collapsed="false">
      <c r="A4" s="17" t="s">
        <v>17</v>
      </c>
      <c r="B4" s="17" t="n">
        <v>4</v>
      </c>
      <c r="C4" s="17"/>
      <c r="D4" s="71" t="s">
        <v>126</v>
      </c>
    </row>
    <row r="5" customFormat="false" ht="15" hidden="false" customHeight="true" outlineLevel="0" collapsed="false">
      <c r="A5" s="7" t="s">
        <v>19</v>
      </c>
      <c r="B5" s="7" t="n">
        <v>4</v>
      </c>
      <c r="C5" s="72" t="n">
        <v>0</v>
      </c>
      <c r="D5" s="73" t="s">
        <v>126</v>
      </c>
    </row>
    <row r="6" customFormat="false" ht="15" hidden="false" customHeight="true" outlineLevel="0" collapsed="false">
      <c r="A6" s="17" t="s">
        <v>20</v>
      </c>
      <c r="B6" s="17" t="n">
        <v>6</v>
      </c>
      <c r="C6" s="74" t="n">
        <v>2</v>
      </c>
      <c r="D6" s="71" t="s">
        <v>126</v>
      </c>
    </row>
    <row r="7" customFormat="false" ht="15" hidden="false" customHeight="true" outlineLevel="0" collapsed="false">
      <c r="A7" s="7" t="s">
        <v>21</v>
      </c>
      <c r="B7" s="7" t="n">
        <v>8</v>
      </c>
      <c r="C7" s="75" t="n">
        <v>2</v>
      </c>
      <c r="D7" s="73" t="s">
        <v>126</v>
      </c>
    </row>
    <row r="8" customFormat="false" ht="15" hidden="false" customHeight="true" outlineLevel="0" collapsed="false">
      <c r="A8" s="17" t="s">
        <v>22</v>
      </c>
      <c r="B8" s="17" t="n">
        <v>10</v>
      </c>
      <c r="C8" s="74" t="n">
        <v>2</v>
      </c>
      <c r="D8" s="71" t="s">
        <v>126</v>
      </c>
    </row>
    <row r="9" customFormat="false" ht="15" hidden="false" customHeight="true" outlineLevel="0" collapsed="false">
      <c r="A9" s="7" t="s">
        <v>23</v>
      </c>
      <c r="B9" s="7" t="n">
        <v>12</v>
      </c>
      <c r="C9" s="75" t="n">
        <v>2</v>
      </c>
      <c r="D9" s="73" t="s">
        <v>126</v>
      </c>
    </row>
    <row r="10" customFormat="false" ht="15" hidden="false" customHeight="true" outlineLevel="0" collapsed="false">
      <c r="A10" s="17" t="s">
        <v>24</v>
      </c>
      <c r="B10" s="17" t="n">
        <v>12</v>
      </c>
      <c r="C10" s="76" t="n">
        <v>0</v>
      </c>
      <c r="D10" s="71" t="s">
        <v>126</v>
      </c>
    </row>
    <row r="11" customFormat="false" ht="15" hidden="false" customHeight="true" outlineLevel="0" collapsed="false">
      <c r="A11" s="7" t="s">
        <v>25</v>
      </c>
      <c r="B11" s="7" t="n">
        <v>12</v>
      </c>
      <c r="C11" s="72" t="n">
        <v>0</v>
      </c>
      <c r="D11" s="73" t="s">
        <v>127</v>
      </c>
    </row>
    <row r="12" customFormat="false" ht="15" hidden="false" customHeight="true" outlineLevel="0" collapsed="false">
      <c r="A12" s="17" t="s">
        <v>26</v>
      </c>
      <c r="B12" s="17" t="n">
        <v>12</v>
      </c>
      <c r="C12" s="76" t="n">
        <v>0</v>
      </c>
      <c r="D12" s="71" t="s">
        <v>127</v>
      </c>
    </row>
    <row r="13" customFormat="false" ht="15" hidden="false" customHeight="true" outlineLevel="0" collapsed="false">
      <c r="A13" s="7" t="s">
        <v>27</v>
      </c>
      <c r="B13" s="7" t="n">
        <v>12</v>
      </c>
      <c r="C13" s="72" t="n">
        <v>0</v>
      </c>
      <c r="D13" s="73" t="s">
        <v>127</v>
      </c>
    </row>
    <row r="14" customFormat="false" ht="15" hidden="false" customHeight="true" outlineLevel="0" collapsed="false">
      <c r="A14" s="17" t="s">
        <v>28</v>
      </c>
      <c r="B14" s="17" t="n">
        <v>13</v>
      </c>
      <c r="C14" s="74" t="n">
        <v>1</v>
      </c>
      <c r="D14" s="71" t="s">
        <v>127</v>
      </c>
    </row>
    <row r="15" customFormat="false" ht="15" hidden="false" customHeight="true" outlineLevel="0" collapsed="false">
      <c r="A15" s="7" t="s">
        <v>128</v>
      </c>
      <c r="B15" s="7" t="n">
        <v>15</v>
      </c>
      <c r="C15" s="75" t="n">
        <v>2</v>
      </c>
      <c r="D15" s="73" t="s">
        <v>129</v>
      </c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>
      <c r="A18" s="77" t="s">
        <v>130</v>
      </c>
      <c r="B18" s="77"/>
      <c r="C18" s="77"/>
      <c r="D18" s="77"/>
    </row>
    <row r="19" customFormat="false" ht="15.75" hidden="false" customHeight="true" outlineLevel="0" collapsed="false">
      <c r="A19" s="44" t="s">
        <v>131</v>
      </c>
      <c r="B19" s="44" t="s">
        <v>132</v>
      </c>
      <c r="C19" s="44" t="s">
        <v>133</v>
      </c>
      <c r="D19" s="44" t="s">
        <v>134</v>
      </c>
    </row>
    <row r="20" customFormat="false" ht="15.75" hidden="false" customHeight="true" outlineLevel="0" collapsed="false">
      <c r="A20" s="78" t="n">
        <v>1</v>
      </c>
      <c r="B20" s="79" t="s">
        <v>135</v>
      </c>
      <c r="C20" s="78" t="s">
        <v>136</v>
      </c>
      <c r="D20" s="79"/>
    </row>
    <row r="21" customFormat="false" ht="15.75" hidden="false" customHeight="true" outlineLevel="0" collapsed="false">
      <c r="A21" s="78" t="n">
        <v>2</v>
      </c>
      <c r="B21" s="79" t="s">
        <v>137</v>
      </c>
      <c r="C21" s="78" t="s">
        <v>136</v>
      </c>
      <c r="D21" s="79"/>
    </row>
    <row r="22" customFormat="false" ht="15.75" hidden="false" customHeight="true" outlineLevel="0" collapsed="false">
      <c r="A22" s="78" t="n">
        <v>3</v>
      </c>
      <c r="B22" s="79" t="s">
        <v>138</v>
      </c>
      <c r="C22" s="78" t="s">
        <v>136</v>
      </c>
      <c r="D22" s="79"/>
    </row>
    <row r="23" customFormat="false" ht="15.75" hidden="false" customHeight="true" outlineLevel="0" collapsed="false">
      <c r="A23" s="78" t="n">
        <v>4</v>
      </c>
      <c r="B23" s="79" t="s">
        <v>139</v>
      </c>
      <c r="C23" s="78" t="s">
        <v>136</v>
      </c>
      <c r="D23" s="79"/>
    </row>
    <row r="24" customFormat="false" ht="15.75" hidden="false" customHeight="true" outlineLevel="0" collapsed="false">
      <c r="A24" s="17" t="n">
        <v>5</v>
      </c>
      <c r="B24" s="71" t="s">
        <v>140</v>
      </c>
      <c r="C24" s="17" t="s">
        <v>141</v>
      </c>
      <c r="D24" s="71"/>
    </row>
    <row r="25" customFormat="false" ht="15.75" hidden="false" customHeight="true" outlineLevel="0" collapsed="false">
      <c r="A25" s="7" t="n">
        <v>6</v>
      </c>
      <c r="B25" s="73" t="s">
        <v>142</v>
      </c>
      <c r="C25" s="7" t="s">
        <v>141</v>
      </c>
      <c r="D25" s="73"/>
    </row>
    <row r="26" customFormat="false" ht="15.75" hidden="false" customHeight="true" outlineLevel="0" collapsed="false">
      <c r="A26" s="7" t="n">
        <v>7</v>
      </c>
      <c r="B26" s="73" t="s">
        <v>143</v>
      </c>
      <c r="C26" s="7" t="s">
        <v>141</v>
      </c>
      <c r="D26" s="73"/>
    </row>
    <row r="27" customFormat="false" ht="15.75" hidden="false" customHeight="true" outlineLevel="0" collapsed="false">
      <c r="A27" s="17" t="n">
        <v>8</v>
      </c>
      <c r="B27" s="71" t="s">
        <v>144</v>
      </c>
      <c r="C27" s="17" t="s">
        <v>141</v>
      </c>
      <c r="D27" s="71"/>
    </row>
    <row r="28" customFormat="false" ht="15.75" hidden="false" customHeight="true" outlineLevel="0" collapsed="false">
      <c r="A28" s="7" t="n">
        <v>9</v>
      </c>
      <c r="B28" s="73" t="s">
        <v>145</v>
      </c>
      <c r="C28" s="7" t="s">
        <v>141</v>
      </c>
      <c r="D28" s="73"/>
    </row>
    <row r="29" customFormat="false" ht="15.75" hidden="false" customHeight="true" outlineLevel="0" collapsed="false">
      <c r="A29" s="17" t="n">
        <v>10</v>
      </c>
      <c r="B29" s="71" t="s">
        <v>146</v>
      </c>
      <c r="C29" s="17" t="s">
        <v>141</v>
      </c>
      <c r="D29" s="71"/>
    </row>
    <row r="30" customFormat="false" ht="15.75" hidden="false" customHeight="true" outlineLevel="0" collapsed="false">
      <c r="A30" s="7" t="n">
        <v>11</v>
      </c>
      <c r="B30" s="73" t="s">
        <v>147</v>
      </c>
      <c r="C30" s="7" t="s">
        <v>141</v>
      </c>
      <c r="D30" s="73"/>
    </row>
    <row r="31" customFormat="false" ht="15.75" hidden="false" customHeight="true" outlineLevel="0" collapsed="false">
      <c r="A31" s="17" t="n">
        <v>12</v>
      </c>
      <c r="B31" s="71" t="s">
        <v>148</v>
      </c>
      <c r="C31" s="17" t="s">
        <v>141</v>
      </c>
      <c r="D31" s="71"/>
    </row>
    <row r="32" customFormat="false" ht="15.75" hidden="false" customHeight="true" outlineLevel="0" collapsed="false">
      <c r="A32" s="7" t="n">
        <v>13</v>
      </c>
      <c r="B32" s="73" t="s">
        <v>149</v>
      </c>
      <c r="C32" s="7" t="s">
        <v>141</v>
      </c>
      <c r="D32" s="73"/>
    </row>
    <row r="33" customFormat="false" ht="15.75" hidden="false" customHeight="true" outlineLevel="0" collapsed="false">
      <c r="A33" s="17" t="n">
        <v>14</v>
      </c>
      <c r="B33" s="71" t="s">
        <v>150</v>
      </c>
      <c r="C33" s="17" t="s">
        <v>141</v>
      </c>
      <c r="D33" s="71"/>
    </row>
    <row r="34" customFormat="false" ht="15.75" hidden="false" customHeight="true" outlineLevel="0" collapsed="false">
      <c r="A34" s="7" t="n">
        <v>15</v>
      </c>
      <c r="B34" s="73" t="s">
        <v>151</v>
      </c>
      <c r="C34" s="7" t="s">
        <v>141</v>
      </c>
      <c r="D34" s="73" t="s">
        <v>152</v>
      </c>
    </row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</sheetData>
  <mergeCells count="2">
    <mergeCell ref="A1:D2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9"/>
  </cols>
  <sheetData>
    <row r="1" customFormat="false" ht="36" hidden="false" customHeight="true" outlineLevel="0" collapsed="false">
      <c r="A1" s="80" t="s">
        <v>153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customFormat="false" ht="15" hidden="false" customHeight="true" outlineLevel="0" collapsed="false">
      <c r="A2" s="82" t="s">
        <v>154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</row>
    <row r="3" customFormat="false" ht="6" hidden="false" customHeight="true" outlineLevel="0" collapsed="false"/>
    <row r="4" customFormat="false" ht="19.5" hidden="false" customHeight="true" outlineLevel="0" collapsed="false">
      <c r="A4" s="4" t="s">
        <v>2</v>
      </c>
      <c r="B4" s="4" t="s">
        <v>155</v>
      </c>
      <c r="C4" s="4"/>
      <c r="D4" s="4"/>
      <c r="E4" s="4"/>
      <c r="F4" s="83" t="s">
        <v>156</v>
      </c>
      <c r="G4" s="83"/>
      <c r="H4" s="83"/>
      <c r="I4" s="84" t="s">
        <v>157</v>
      </c>
      <c r="J4" s="84"/>
      <c r="K4" s="84"/>
      <c r="L4" s="4" t="s">
        <v>134</v>
      </c>
    </row>
    <row r="5" customFormat="false" ht="18" hidden="false" customHeight="true" outlineLevel="0" collapsed="false">
      <c r="A5" s="4"/>
      <c r="B5" s="4"/>
      <c r="C5" s="85" t="s">
        <v>158</v>
      </c>
      <c r="D5" s="85" t="s">
        <v>159</v>
      </c>
      <c r="E5" s="85" t="s">
        <v>160</v>
      </c>
      <c r="F5" s="83" t="s">
        <v>158</v>
      </c>
      <c r="G5" s="83" t="s">
        <v>159</v>
      </c>
      <c r="H5" s="83" t="s">
        <v>160</v>
      </c>
      <c r="I5" s="84" t="s">
        <v>158</v>
      </c>
      <c r="J5" s="84" t="s">
        <v>159</v>
      </c>
      <c r="K5" s="84" t="s">
        <v>160</v>
      </c>
      <c r="L5" s="4"/>
    </row>
    <row r="6" customFormat="false" ht="15" hidden="false" customHeight="true" outlineLevel="0" collapsed="false">
      <c r="A6" s="86" t="s">
        <v>19</v>
      </c>
      <c r="B6" s="87" t="n">
        <v>744</v>
      </c>
      <c r="C6" s="88" t="n">
        <v>4.23</v>
      </c>
      <c r="D6" s="88" t="n">
        <v>739.77</v>
      </c>
      <c r="E6" s="89" t="n">
        <v>0.006</v>
      </c>
      <c r="F6" s="90" t="n">
        <v>0</v>
      </c>
      <c r="G6" s="90" t="n">
        <v>744</v>
      </c>
      <c r="H6" s="91" t="n">
        <v>0</v>
      </c>
      <c r="I6" s="92" t="n">
        <v>0</v>
      </c>
      <c r="J6" s="92" t="n">
        <v>744</v>
      </c>
      <c r="K6" s="93" t="n">
        <v>0</v>
      </c>
      <c r="L6" s="94" t="s">
        <v>161</v>
      </c>
    </row>
    <row r="7" customFormat="false" ht="15" hidden="false" customHeight="true" outlineLevel="0" collapsed="false">
      <c r="A7" s="95" t="s">
        <v>21</v>
      </c>
      <c r="B7" s="96" t="n">
        <v>744</v>
      </c>
      <c r="C7" s="88" t="n">
        <v>214.38</v>
      </c>
      <c r="D7" s="88" t="n">
        <v>529.62</v>
      </c>
      <c r="E7" s="89" t="n">
        <v>0.288</v>
      </c>
      <c r="F7" s="90" t="n">
        <v>138.87</v>
      </c>
      <c r="G7" s="90" t="n">
        <v>605.13</v>
      </c>
      <c r="H7" s="91" t="n">
        <v>0.187</v>
      </c>
      <c r="I7" s="92" t="n">
        <v>0</v>
      </c>
      <c r="J7" s="92" t="n">
        <v>744</v>
      </c>
      <c r="K7" s="93" t="n">
        <v>0</v>
      </c>
      <c r="L7" s="97" t="s">
        <v>162</v>
      </c>
    </row>
    <row r="8" customFormat="false" ht="15" hidden="false" customHeight="true" outlineLevel="0" collapsed="false">
      <c r="A8" s="86" t="s">
        <v>22</v>
      </c>
      <c r="B8" s="87" t="n">
        <v>744</v>
      </c>
      <c r="C8" s="88" t="n">
        <v>393.9</v>
      </c>
      <c r="D8" s="88" t="n">
        <v>350.1</v>
      </c>
      <c r="E8" s="89" t="n">
        <v>0.529</v>
      </c>
      <c r="F8" s="90" t="n">
        <v>335.85</v>
      </c>
      <c r="G8" s="90" t="n">
        <v>408.15</v>
      </c>
      <c r="H8" s="91" t="n">
        <v>0.451</v>
      </c>
      <c r="I8" s="92" t="n">
        <v>0.43</v>
      </c>
      <c r="J8" s="92" t="n">
        <v>743.57</v>
      </c>
      <c r="K8" s="93" t="n">
        <v>0.001</v>
      </c>
      <c r="L8" s="94" t="s">
        <v>163</v>
      </c>
    </row>
    <row r="9" customFormat="false" ht="15" hidden="false" customHeight="true" outlineLevel="0" collapsed="false">
      <c r="A9" s="95" t="s">
        <v>23</v>
      </c>
      <c r="B9" s="96" t="n">
        <v>720</v>
      </c>
      <c r="C9" s="88" t="n">
        <v>317.92</v>
      </c>
      <c r="D9" s="88" t="n">
        <v>402.08</v>
      </c>
      <c r="E9" s="89" t="n">
        <v>0.442</v>
      </c>
      <c r="F9" s="90" t="n">
        <v>258.85</v>
      </c>
      <c r="G9" s="90" t="n">
        <v>461.15</v>
      </c>
      <c r="H9" s="91" t="n">
        <v>0.36</v>
      </c>
      <c r="I9" s="92" t="n">
        <v>0</v>
      </c>
      <c r="J9" s="92" t="n">
        <v>720</v>
      </c>
      <c r="K9" s="93" t="n">
        <v>0</v>
      </c>
      <c r="L9" s="97" t="s">
        <v>163</v>
      </c>
    </row>
    <row r="10" customFormat="false" ht="15" hidden="false" customHeight="true" outlineLevel="0" collapsed="false">
      <c r="A10" s="86" t="s">
        <v>24</v>
      </c>
      <c r="B10" s="87" t="n">
        <v>744</v>
      </c>
      <c r="C10" s="88" t="n">
        <v>270.05</v>
      </c>
      <c r="D10" s="88" t="n">
        <v>473.95</v>
      </c>
      <c r="E10" s="89" t="n">
        <v>0.363</v>
      </c>
      <c r="F10" s="90" t="n">
        <v>246.95</v>
      </c>
      <c r="G10" s="90" t="n">
        <v>497.05</v>
      </c>
      <c r="H10" s="91" t="n">
        <v>0.332</v>
      </c>
      <c r="I10" s="92" t="n">
        <v>0</v>
      </c>
      <c r="J10" s="92" t="n">
        <v>744</v>
      </c>
      <c r="K10" s="93" t="n">
        <v>0</v>
      </c>
      <c r="L10" s="94" t="s">
        <v>163</v>
      </c>
    </row>
    <row r="11" customFormat="false" ht="15" hidden="false" customHeight="true" outlineLevel="0" collapsed="false">
      <c r="A11" s="95" t="s">
        <v>25</v>
      </c>
      <c r="B11" s="96" t="n">
        <v>720</v>
      </c>
      <c r="C11" s="88" t="n">
        <v>218.52</v>
      </c>
      <c r="D11" s="88" t="n">
        <v>501.48</v>
      </c>
      <c r="E11" s="89" t="n">
        <v>0.304</v>
      </c>
      <c r="F11" s="90" t="n">
        <v>195.87</v>
      </c>
      <c r="G11" s="90" t="n">
        <v>524.13</v>
      </c>
      <c r="H11" s="91" t="n">
        <v>0.272</v>
      </c>
      <c r="I11" s="92" t="n">
        <v>0</v>
      </c>
      <c r="J11" s="92" t="n">
        <v>720</v>
      </c>
      <c r="K11" s="93" t="n">
        <v>0</v>
      </c>
      <c r="L11" s="97" t="s">
        <v>163</v>
      </c>
    </row>
    <row r="12" customFormat="false" ht="15" hidden="false" customHeight="true" outlineLevel="0" collapsed="false">
      <c r="A12" s="86" t="s">
        <v>26</v>
      </c>
      <c r="B12" s="87" t="n">
        <v>744</v>
      </c>
      <c r="C12" s="88" t="n">
        <v>205.55</v>
      </c>
      <c r="D12" s="88" t="n">
        <v>538.45</v>
      </c>
      <c r="E12" s="89" t="n">
        <v>0.276</v>
      </c>
      <c r="F12" s="90" t="n">
        <v>228.55</v>
      </c>
      <c r="G12" s="90" t="n">
        <v>515.45</v>
      </c>
      <c r="H12" s="91" t="n">
        <v>0.307</v>
      </c>
      <c r="I12" s="92" t="n">
        <v>0</v>
      </c>
      <c r="J12" s="92" t="n">
        <v>744</v>
      </c>
      <c r="K12" s="93" t="n">
        <v>0</v>
      </c>
      <c r="L12" s="94" t="s">
        <v>163</v>
      </c>
    </row>
    <row r="13" customFormat="false" ht="15" hidden="false" customHeight="true" outlineLevel="0" collapsed="false">
      <c r="A13" s="95" t="s">
        <v>27</v>
      </c>
      <c r="B13" s="96" t="n">
        <v>744</v>
      </c>
      <c r="C13" s="88" t="n">
        <v>248.12</v>
      </c>
      <c r="D13" s="88" t="n">
        <v>495.88</v>
      </c>
      <c r="E13" s="89" t="n">
        <v>0.333</v>
      </c>
      <c r="F13" s="90" t="n">
        <v>275.9</v>
      </c>
      <c r="G13" s="90" t="n">
        <v>468.1</v>
      </c>
      <c r="H13" s="91" t="n">
        <v>0.371</v>
      </c>
      <c r="I13" s="92" t="n">
        <v>91.42</v>
      </c>
      <c r="J13" s="92" t="n">
        <v>652.58</v>
      </c>
      <c r="K13" s="93" t="n">
        <v>0.123</v>
      </c>
      <c r="L13" s="97" t="s">
        <v>164</v>
      </c>
    </row>
    <row r="14" customFormat="false" ht="15" hidden="false" customHeight="true" outlineLevel="0" collapsed="false">
      <c r="A14" s="86" t="s">
        <v>28</v>
      </c>
      <c r="B14" s="87" t="n">
        <v>672</v>
      </c>
      <c r="C14" s="88" t="n">
        <v>282.57</v>
      </c>
      <c r="D14" s="88" t="n">
        <v>389.43</v>
      </c>
      <c r="E14" s="89" t="n">
        <v>0.42</v>
      </c>
      <c r="F14" s="90" t="n">
        <v>245.2</v>
      </c>
      <c r="G14" s="90" t="n">
        <v>426.8</v>
      </c>
      <c r="H14" s="91" t="n">
        <v>0.365</v>
      </c>
      <c r="I14" s="92" t="n">
        <v>247.47</v>
      </c>
      <c r="J14" s="92" t="n">
        <v>424.53</v>
      </c>
      <c r="K14" s="93" t="n">
        <v>0.368</v>
      </c>
      <c r="L14" s="94" t="s">
        <v>165</v>
      </c>
    </row>
    <row r="15" customFormat="false" ht="15" hidden="false" customHeight="true" outlineLevel="0" collapsed="false">
      <c r="A15" s="95" t="s">
        <v>29</v>
      </c>
      <c r="B15" s="96" t="n">
        <v>744</v>
      </c>
      <c r="C15" s="88" t="n">
        <v>167</v>
      </c>
      <c r="D15" s="88" t="n">
        <v>577</v>
      </c>
      <c r="E15" s="89" t="n">
        <v>0.224</v>
      </c>
      <c r="F15" s="90" t="n">
        <v>180.18</v>
      </c>
      <c r="G15" s="90" t="n">
        <v>563.82</v>
      </c>
      <c r="H15" s="91" t="n">
        <v>0.242</v>
      </c>
      <c r="I15" s="92" t="n">
        <v>141.7</v>
      </c>
      <c r="J15" s="92" t="n">
        <v>602.3</v>
      </c>
      <c r="K15" s="93" t="n">
        <v>0.19</v>
      </c>
      <c r="L15" s="97" t="s">
        <v>166</v>
      </c>
    </row>
    <row r="16" customFormat="false" ht="15" hidden="false" customHeight="true" outlineLevel="0" collapsed="false"/>
    <row r="17" customFormat="false" ht="15" hidden="false" customHeight="true" outlineLevel="0" collapsed="false">
      <c r="A17" s="98" t="s">
        <v>167</v>
      </c>
      <c r="B17" s="99" t="n">
        <v>7320</v>
      </c>
      <c r="C17" s="100" t="n">
        <v>2288</v>
      </c>
      <c r="D17" s="100" t="n">
        <v>5032</v>
      </c>
      <c r="E17" s="101" t="n">
        <v>0.314</v>
      </c>
      <c r="F17" s="102" t="n">
        <v>2068.9</v>
      </c>
      <c r="G17" s="102" t="n">
        <v>5251.1</v>
      </c>
      <c r="H17" s="103" t="n">
        <v>0.284</v>
      </c>
      <c r="I17" s="104" t="n">
        <v>455.1</v>
      </c>
      <c r="J17" s="104" t="n">
        <v>6864.9</v>
      </c>
      <c r="K17" s="105" t="n">
        <v>0.065</v>
      </c>
      <c r="L17" s="106" t="s">
        <v>168</v>
      </c>
    </row>
  </sheetData>
  <mergeCells count="5">
    <mergeCell ref="A1:L1"/>
    <mergeCell ref="A2:L2"/>
    <mergeCell ref="C4:E4"/>
    <mergeCell ref="F4:H4"/>
    <mergeCell ref="I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4"/>
    <col collapsed="false" customWidth="true" hidden="false" outlineLevel="0" max="5" min="4" style="0" width="10"/>
    <col collapsed="false" customWidth="true" hidden="false" outlineLevel="0" max="9" min="6" style="0" width="12"/>
    <col collapsed="false" customWidth="true" hidden="false" outlineLevel="0" max="10" min="10" style="0" width="22"/>
    <col collapsed="false" customWidth="true" hidden="false" outlineLevel="0" max="12" min="11" style="0" width="30"/>
    <col collapsed="false" customWidth="true" hidden="false" outlineLevel="0" max="14" min="13" style="0" width="11"/>
  </cols>
  <sheetData>
    <row r="1" customFormat="false" ht="36" hidden="false" customHeight="true" outlineLevel="0" collapsed="false">
      <c r="A1" s="1" t="s">
        <v>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107" t="s">
        <v>170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customFormat="false" ht="19.5" hidden="false" customHeight="true" outlineLevel="0" collapsed="false">
      <c r="A3" s="108" t="s">
        <v>171</v>
      </c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 customFormat="false" ht="15.75" hidden="false" customHeight="true" outlineLevel="0" collapsed="false">
      <c r="A4" s="109" t="s">
        <v>172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</row>
    <row r="5" customFormat="false" ht="7.5" hidden="false" customHeight="true" outlineLevel="0" collapsed="false"/>
    <row r="6" customFormat="false" ht="30" hidden="false" customHeight="true" outlineLevel="0" collapsed="false">
      <c r="A6" s="110" t="s">
        <v>173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</row>
    <row r="7" customFormat="false" ht="18" hidden="false" customHeight="true" outlineLevel="0" collapsed="false">
      <c r="A7" s="111" t="s">
        <v>174</v>
      </c>
      <c r="B7" s="111"/>
      <c r="C7" s="111" t="s">
        <v>175</v>
      </c>
      <c r="D7" s="111"/>
      <c r="E7" s="112" t="s">
        <v>176</v>
      </c>
      <c r="F7" s="112"/>
      <c r="G7" s="112" t="s">
        <v>177</v>
      </c>
      <c r="H7" s="112"/>
      <c r="I7" s="113" t="s">
        <v>178</v>
      </c>
      <c r="J7" s="114"/>
      <c r="K7" s="113" t="s">
        <v>179</v>
      </c>
      <c r="L7" s="114"/>
    </row>
    <row r="8" customFormat="false" ht="7.5" hidden="false" customHeight="true" outlineLevel="0" collapsed="false">
      <c r="A8" s="115"/>
      <c r="B8" s="115"/>
      <c r="C8" s="115"/>
      <c r="D8" s="115"/>
      <c r="E8" s="115"/>
      <c r="F8" s="115"/>
      <c r="H8" s="115"/>
      <c r="I8" s="115"/>
      <c r="J8" s="115"/>
      <c r="K8" s="115"/>
      <c r="L8" s="115"/>
    </row>
    <row r="9" customFormat="false" ht="15.75" hidden="false" customHeight="true" outlineLevel="0" collapsed="false">
      <c r="A9" s="116" t="s">
        <v>180</v>
      </c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</row>
    <row r="10" customFormat="false" ht="27.75" hidden="false" customHeight="true" outlineLevel="0" collapsed="false">
      <c r="A10" s="85" t="s">
        <v>181</v>
      </c>
      <c r="B10" s="85"/>
      <c r="C10" s="114"/>
      <c r="D10" s="114"/>
      <c r="E10" s="85" t="s">
        <v>182</v>
      </c>
      <c r="F10" s="85"/>
      <c r="G10" s="85" t="s">
        <v>183</v>
      </c>
      <c r="H10" s="114"/>
      <c r="I10" s="114"/>
      <c r="J10" s="114"/>
      <c r="K10" s="114"/>
      <c r="L10" s="114"/>
      <c r="M10" s="85" t="s">
        <v>184</v>
      </c>
      <c r="N10" s="85"/>
    </row>
    <row r="11" customFormat="false" ht="15" hidden="false" customHeight="true" outlineLevel="0" collapsed="false">
      <c r="A11" s="117" t="s">
        <v>185</v>
      </c>
      <c r="B11" s="117"/>
      <c r="C11" s="114"/>
      <c r="D11" s="114"/>
      <c r="E11" s="118" t="n">
        <v>38.14</v>
      </c>
      <c r="F11" s="118"/>
      <c r="G11" s="118" t="n">
        <v>114.42</v>
      </c>
      <c r="H11" s="118"/>
      <c r="I11" s="119" t="s">
        <v>186</v>
      </c>
      <c r="J11" s="114"/>
      <c r="K11" s="118" t="n">
        <v>334.1064</v>
      </c>
      <c r="L11" s="114"/>
      <c r="M11" s="120" t="n">
        <v>4009.2768</v>
      </c>
      <c r="N11" s="120"/>
    </row>
    <row r="12" customFormat="false" ht="15" hidden="false" customHeight="true" outlineLevel="0" collapsed="false">
      <c r="A12" s="121" t="s">
        <v>187</v>
      </c>
      <c r="B12" s="121"/>
      <c r="C12" s="121"/>
      <c r="D12" s="122" t="s">
        <v>188</v>
      </c>
      <c r="E12" s="118" t="n">
        <v>9.09</v>
      </c>
      <c r="F12" s="118"/>
      <c r="G12" s="118" t="n">
        <v>27.27</v>
      </c>
      <c r="H12" s="114"/>
      <c r="I12" s="114"/>
      <c r="J12" s="114"/>
      <c r="K12" s="114"/>
      <c r="L12" s="114"/>
      <c r="M12" s="120" t="n">
        <v>477.7704</v>
      </c>
      <c r="N12" s="120"/>
    </row>
    <row r="13" customFormat="false" ht="15" hidden="false" customHeight="true" outlineLevel="0" collapsed="false">
      <c r="A13" s="123" t="s">
        <v>189</v>
      </c>
      <c r="B13" s="123"/>
      <c r="C13" s="123"/>
      <c r="D13" s="119" t="s">
        <v>190</v>
      </c>
      <c r="E13" s="124" t="s">
        <v>18</v>
      </c>
      <c r="F13" s="124"/>
      <c r="G13" s="124" t="s">
        <v>18</v>
      </c>
      <c r="H13" s="124"/>
      <c r="I13" s="124" t="s">
        <v>186</v>
      </c>
      <c r="J13" s="114"/>
      <c r="K13" s="124" t="s">
        <v>18</v>
      </c>
      <c r="L13" s="114"/>
      <c r="M13" s="124" t="s">
        <v>18</v>
      </c>
      <c r="N13" s="124"/>
    </row>
    <row r="14" customFormat="false" ht="15" hidden="false" customHeight="true" outlineLevel="0" collapsed="false">
      <c r="A14" s="121" t="s">
        <v>191</v>
      </c>
      <c r="B14" s="121"/>
      <c r="C14" s="121"/>
      <c r="D14" s="122" t="s">
        <v>188</v>
      </c>
      <c r="E14" s="118" t="n">
        <v>55.12</v>
      </c>
      <c r="F14" s="118"/>
      <c r="G14" s="118" t="n">
        <v>165.36</v>
      </c>
      <c r="H14" s="118"/>
      <c r="I14" s="122" t="s">
        <v>192</v>
      </c>
      <c r="J14" s="122"/>
      <c r="K14" s="118" t="n">
        <v>241.4256</v>
      </c>
      <c r="L14" s="118"/>
      <c r="M14" s="120" t="n">
        <v>2897.1072</v>
      </c>
      <c r="N14" s="120"/>
    </row>
    <row r="15" customFormat="false" ht="15" hidden="false" customHeight="true" outlineLevel="0" collapsed="false">
      <c r="A15" s="117" t="s">
        <v>193</v>
      </c>
      <c r="B15" s="117"/>
      <c r="C15" s="117"/>
      <c r="D15" s="117"/>
      <c r="E15" s="117"/>
      <c r="F15" s="117"/>
      <c r="G15" s="117"/>
      <c r="H15" s="117"/>
      <c r="I15" s="117"/>
      <c r="J15" s="117"/>
      <c r="K15" s="117"/>
      <c r="L15" s="117"/>
      <c r="M15" s="125" t="n">
        <v>2365.2</v>
      </c>
      <c r="N15" s="125"/>
    </row>
    <row r="16" customFormat="false" ht="15" hidden="false" customHeight="true" outlineLevel="0" collapsed="false">
      <c r="A16" s="121" t="s">
        <v>194</v>
      </c>
      <c r="B16" s="121"/>
      <c r="C16" s="121"/>
      <c r="D16" s="122" t="s">
        <v>188</v>
      </c>
      <c r="E16" s="126" t="n">
        <v>35</v>
      </c>
      <c r="F16" s="126"/>
      <c r="G16" s="126" t="n">
        <v>105</v>
      </c>
      <c r="H16" s="126"/>
      <c r="I16" s="122" t="s">
        <v>192</v>
      </c>
      <c r="J16" s="122"/>
      <c r="K16" s="126" t="n">
        <v>153.3</v>
      </c>
      <c r="L16" s="126"/>
      <c r="M16" s="125" t="n">
        <v>1839.6</v>
      </c>
      <c r="N16" s="125"/>
    </row>
    <row r="17" customFormat="false" ht="15" hidden="false" customHeight="true" outlineLevel="0" collapsed="false">
      <c r="A17" s="117" t="s">
        <v>195</v>
      </c>
      <c r="B17" s="117"/>
      <c r="C17" s="117"/>
      <c r="D17" s="119" t="s">
        <v>188</v>
      </c>
      <c r="E17" s="126" t="n">
        <v>8</v>
      </c>
      <c r="F17" s="126"/>
      <c r="G17" s="126" t="n">
        <v>24</v>
      </c>
      <c r="H17" s="126"/>
      <c r="I17" s="119" t="s">
        <v>192</v>
      </c>
      <c r="J17" s="119"/>
      <c r="K17" s="126" t="n">
        <v>35.04</v>
      </c>
      <c r="L17" s="126"/>
      <c r="M17" s="125" t="n">
        <v>420.48</v>
      </c>
      <c r="N17" s="125"/>
    </row>
    <row r="18" customFormat="false" ht="15" hidden="false" customHeight="true" outlineLevel="0" collapsed="false">
      <c r="A18" s="127" t="s">
        <v>196</v>
      </c>
      <c r="B18" s="127"/>
      <c r="C18" s="127"/>
      <c r="D18" s="122" t="s">
        <v>190</v>
      </c>
      <c r="E18" s="128" t="s">
        <v>18</v>
      </c>
      <c r="F18" s="128"/>
      <c r="G18" s="128" t="s">
        <v>18</v>
      </c>
      <c r="H18" s="128"/>
      <c r="I18" s="128" t="s">
        <v>186</v>
      </c>
      <c r="J18" s="128"/>
      <c r="K18" s="128" t="s">
        <v>18</v>
      </c>
      <c r="L18" s="128"/>
      <c r="M18" s="128" t="s">
        <v>18</v>
      </c>
      <c r="N18" s="128"/>
    </row>
    <row r="19" customFormat="false" ht="15" hidden="false" customHeight="true" outlineLevel="0" collapsed="false">
      <c r="A19" s="117" t="s">
        <v>197</v>
      </c>
      <c r="B19" s="117"/>
      <c r="C19" s="117"/>
      <c r="D19" s="119" t="s">
        <v>190</v>
      </c>
      <c r="E19" s="126" t="n">
        <v>2</v>
      </c>
      <c r="F19" s="126"/>
      <c r="G19" s="126" t="n">
        <v>6</v>
      </c>
      <c r="H19" s="126"/>
      <c r="I19" s="119" t="s">
        <v>186</v>
      </c>
      <c r="J19" s="119"/>
      <c r="K19" s="126" t="n">
        <v>17.52</v>
      </c>
      <c r="L19" s="126"/>
      <c r="M19" s="125" t="n">
        <v>210.24</v>
      </c>
      <c r="N19" s="125"/>
    </row>
    <row r="20" customFormat="false" ht="15" hidden="false" customHeight="true" outlineLevel="0" collapsed="false">
      <c r="A20" s="127" t="s">
        <v>198</v>
      </c>
      <c r="B20" s="127"/>
      <c r="C20" s="127"/>
      <c r="D20" s="122" t="s">
        <v>188</v>
      </c>
      <c r="E20" s="128" t="s">
        <v>18</v>
      </c>
      <c r="F20" s="128"/>
      <c r="G20" s="128" t="s">
        <v>18</v>
      </c>
      <c r="H20" s="128"/>
      <c r="I20" s="128" t="s">
        <v>192</v>
      </c>
      <c r="J20" s="128"/>
      <c r="K20" s="128" t="s">
        <v>18</v>
      </c>
      <c r="L20" s="128"/>
      <c r="M20" s="128" t="s">
        <v>18</v>
      </c>
      <c r="N20" s="128"/>
    </row>
    <row r="21" customFormat="false" ht="15" hidden="false" customHeight="true" outlineLevel="0" collapsed="false">
      <c r="A21" s="117" t="s">
        <v>199</v>
      </c>
      <c r="B21" s="117"/>
      <c r="C21" s="117"/>
      <c r="D21" s="119" t="s">
        <v>200</v>
      </c>
      <c r="E21" s="118" t="n">
        <v>26.86</v>
      </c>
      <c r="F21" s="118"/>
      <c r="G21" s="118" t="n">
        <v>80.58</v>
      </c>
      <c r="H21" s="118"/>
      <c r="I21" s="119" t="s">
        <v>201</v>
      </c>
      <c r="J21" s="119"/>
      <c r="K21" s="118" t="n">
        <v>58.8234</v>
      </c>
      <c r="L21" s="118"/>
      <c r="M21" s="120" t="n">
        <v>705.8808</v>
      </c>
      <c r="N21" s="120"/>
    </row>
    <row r="22" customFormat="false" ht="15" hidden="false" customHeight="true" outlineLevel="0" collapsed="false">
      <c r="A22" s="121" t="s">
        <v>202</v>
      </c>
      <c r="B22" s="121"/>
      <c r="C22" s="121"/>
      <c r="D22" s="122" t="s">
        <v>203</v>
      </c>
      <c r="E22" s="126" t="n">
        <v>85</v>
      </c>
      <c r="F22" s="126"/>
      <c r="G22" s="126" t="n">
        <v>255</v>
      </c>
      <c r="H22" s="126"/>
      <c r="I22" s="122" t="s">
        <v>204</v>
      </c>
      <c r="J22" s="122"/>
      <c r="K22" s="126" t="n">
        <v>124.1</v>
      </c>
      <c r="L22" s="126"/>
      <c r="M22" s="125" t="n">
        <v>1489.2</v>
      </c>
      <c r="N22" s="125"/>
    </row>
    <row r="23" customFormat="false" ht="15" hidden="false" customHeight="true" outlineLevel="0" collapsed="false">
      <c r="A23" s="123" t="s">
        <v>205</v>
      </c>
      <c r="B23" s="123"/>
      <c r="C23" s="123"/>
      <c r="D23" s="119" t="s">
        <v>203</v>
      </c>
      <c r="E23" s="129" t="s">
        <v>206</v>
      </c>
      <c r="F23" s="129"/>
      <c r="G23" s="129" t="s">
        <v>206</v>
      </c>
      <c r="H23" s="129"/>
      <c r="I23" s="124" t="s">
        <v>204</v>
      </c>
      <c r="J23" s="124"/>
      <c r="K23" s="129" t="s">
        <v>206</v>
      </c>
      <c r="L23" s="129"/>
      <c r="M23" s="129" t="s">
        <v>206</v>
      </c>
      <c r="N23" s="129"/>
    </row>
    <row r="24" customFormat="false" ht="15" hidden="false" customHeight="true" outlineLevel="0" collapsed="false">
      <c r="A24" s="127" t="s">
        <v>207</v>
      </c>
      <c r="B24" s="127"/>
      <c r="C24" s="127"/>
      <c r="D24" s="122" t="s">
        <v>208</v>
      </c>
      <c r="E24" s="129" t="s">
        <v>206</v>
      </c>
      <c r="F24" s="129"/>
      <c r="G24" s="129" t="s">
        <v>206</v>
      </c>
      <c r="H24" s="129"/>
      <c r="I24" s="128" t="s">
        <v>209</v>
      </c>
      <c r="J24" s="128"/>
      <c r="K24" s="129" t="s">
        <v>206</v>
      </c>
      <c r="L24" s="129"/>
      <c r="M24" s="129" t="s">
        <v>206</v>
      </c>
      <c r="N24" s="129"/>
    </row>
    <row r="25" customFormat="false" ht="15" hidden="false" customHeight="true" outlineLevel="0" collapsed="false">
      <c r="A25" s="123" t="s">
        <v>210</v>
      </c>
      <c r="B25" s="123"/>
      <c r="C25" s="123"/>
      <c r="D25" s="119" t="s">
        <v>208</v>
      </c>
      <c r="E25" s="129" t="s">
        <v>206</v>
      </c>
      <c r="F25" s="129"/>
      <c r="G25" s="129" t="s">
        <v>206</v>
      </c>
      <c r="H25" s="129"/>
      <c r="I25" s="124" t="s">
        <v>209</v>
      </c>
      <c r="J25" s="124"/>
      <c r="K25" s="129" t="s">
        <v>206</v>
      </c>
      <c r="L25" s="129"/>
      <c r="M25" s="129" t="s">
        <v>206</v>
      </c>
      <c r="N25" s="129"/>
    </row>
    <row r="26" customFormat="false" ht="19.5" hidden="false" customHeight="true" outlineLevel="0" collapsed="false">
      <c r="A26" s="130" t="s">
        <v>211</v>
      </c>
      <c r="B26" s="130"/>
      <c r="C26" s="114"/>
      <c r="D26" s="114"/>
      <c r="E26" s="114"/>
      <c r="F26" s="114"/>
      <c r="G26" s="114"/>
      <c r="H26" s="114"/>
      <c r="I26" s="41"/>
      <c r="J26" s="41"/>
      <c r="K26" s="131" t="n">
        <v>1201.2296</v>
      </c>
      <c r="L26" s="131"/>
      <c r="M26" s="131" t="n">
        <v>14414.7552</v>
      </c>
      <c r="N26" s="131"/>
    </row>
    <row r="27" customFormat="false" ht="7.5" hidden="false" customHeight="true" outlineLevel="0" collapsed="false">
      <c r="A27" s="115"/>
      <c r="B27" s="115"/>
      <c r="K27" s="115"/>
      <c r="L27" s="115"/>
    </row>
    <row r="28" customFormat="false" ht="13.5" hidden="false" customHeight="true" outlineLevel="0" collapsed="false">
      <c r="A28" s="132" t="s">
        <v>212</v>
      </c>
      <c r="B28" s="132"/>
      <c r="K28" s="115"/>
      <c r="L28" s="115"/>
    </row>
    <row r="29" customFormat="false" ht="13.5" hidden="false" customHeight="true" outlineLevel="0" collapsed="false">
      <c r="A29" s="85" t="s">
        <v>181</v>
      </c>
      <c r="B29" s="85"/>
      <c r="C29" s="85" t="s">
        <v>213</v>
      </c>
      <c r="D29" s="133"/>
      <c r="E29" s="85" t="s">
        <v>214</v>
      </c>
      <c r="F29" s="133"/>
      <c r="G29" s="85" t="s">
        <v>101</v>
      </c>
      <c r="H29" s="85" t="s">
        <v>134</v>
      </c>
      <c r="I29" s="134"/>
      <c r="J29" s="134"/>
      <c r="K29" s="133"/>
      <c r="L29" s="133"/>
    </row>
    <row r="30" customFormat="false" ht="13.5" hidden="false" customHeight="true" outlineLevel="0" collapsed="false">
      <c r="A30" s="135" t="s">
        <v>215</v>
      </c>
      <c r="B30" s="135"/>
      <c r="C30" s="136" t="s">
        <v>216</v>
      </c>
      <c r="D30" s="134"/>
      <c r="E30" s="136" t="s">
        <v>18</v>
      </c>
      <c r="F30" s="134"/>
      <c r="G30" s="137" t="s">
        <v>217</v>
      </c>
      <c r="H30" s="135" t="s">
        <v>218</v>
      </c>
      <c r="I30" s="134"/>
      <c r="J30" s="134"/>
      <c r="K30" s="134"/>
      <c r="L30" s="134"/>
    </row>
    <row r="31" customFormat="false" ht="13.5" hidden="false" customHeight="true" outlineLevel="0" collapsed="false">
      <c r="A31" s="138" t="s">
        <v>219</v>
      </c>
      <c r="B31" s="138"/>
      <c r="C31" s="139" t="s">
        <v>216</v>
      </c>
      <c r="D31" s="134"/>
      <c r="E31" s="139" t="s">
        <v>18</v>
      </c>
      <c r="F31" s="134"/>
      <c r="G31" s="137" t="s">
        <v>217</v>
      </c>
      <c r="H31" s="138" t="s">
        <v>220</v>
      </c>
      <c r="I31" s="134"/>
      <c r="J31" s="134"/>
      <c r="K31" s="134"/>
      <c r="L31" s="134"/>
    </row>
    <row r="32" customFormat="false" ht="7.5" hidden="false" customHeight="true" outlineLevel="0" collapsed="false">
      <c r="A32" s="135" t="s">
        <v>221</v>
      </c>
      <c r="B32" s="134"/>
      <c r="C32" s="136" t="s">
        <v>216</v>
      </c>
      <c r="D32" s="134"/>
      <c r="E32" s="136" t="s">
        <v>18</v>
      </c>
      <c r="F32" s="134"/>
      <c r="G32" s="137" t="s">
        <v>217</v>
      </c>
      <c r="H32" s="135" t="s">
        <v>222</v>
      </c>
      <c r="I32" s="134"/>
      <c r="J32" s="134"/>
      <c r="K32" s="134"/>
      <c r="L32" s="134"/>
    </row>
    <row r="33" customFormat="false" ht="15.75" hidden="false" customHeight="true" outlineLevel="0" collapsed="false">
      <c r="A33" s="138" t="s">
        <v>223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</row>
    <row r="34" customFormat="false" ht="27.75" hidden="false" customHeight="true" outlineLevel="0" collapsed="false">
      <c r="A34" s="135" t="s">
        <v>224</v>
      </c>
      <c r="B34" s="135"/>
      <c r="C34" s="136" t="s">
        <v>216</v>
      </c>
      <c r="D34" s="134"/>
      <c r="E34" s="136" t="s">
        <v>18</v>
      </c>
      <c r="F34" s="134"/>
      <c r="G34" s="137" t="s">
        <v>217</v>
      </c>
      <c r="H34" s="135" t="s">
        <v>225</v>
      </c>
      <c r="I34" s="134"/>
      <c r="J34" s="134"/>
      <c r="K34" s="134"/>
      <c r="L34" s="134"/>
    </row>
    <row r="35" customFormat="false" ht="13.5" hidden="false" customHeight="true" outlineLevel="0" collapsed="false">
      <c r="A35" s="138" t="s">
        <v>226</v>
      </c>
      <c r="B35" s="138"/>
      <c r="C35" s="139" t="s">
        <v>216</v>
      </c>
      <c r="D35" s="134"/>
      <c r="E35" s="139" t="s">
        <v>18</v>
      </c>
      <c r="F35" s="134"/>
      <c r="G35" s="137" t="s">
        <v>217</v>
      </c>
      <c r="H35" s="138" t="s">
        <v>227</v>
      </c>
      <c r="I35" s="134"/>
      <c r="J35" s="134"/>
      <c r="K35" s="134"/>
      <c r="L35" s="134"/>
    </row>
    <row r="36" customFormat="false" ht="13.5" hidden="false" customHeight="true" outlineLevel="0" collapsed="false">
      <c r="A36" s="115"/>
      <c r="B36" s="115"/>
      <c r="K36" s="115"/>
      <c r="L36" s="115"/>
    </row>
    <row r="37" customFormat="false" ht="13.5" hidden="false" customHeight="true" outlineLevel="0" collapsed="false">
      <c r="A37" s="140" t="s">
        <v>228</v>
      </c>
      <c r="B37" s="140"/>
      <c r="K37" s="115"/>
      <c r="L37" s="115"/>
    </row>
    <row r="38" customFormat="false" ht="13.5" hidden="false" customHeight="true" outlineLevel="0" collapsed="false">
      <c r="A38" s="85" t="s">
        <v>181</v>
      </c>
      <c r="B38" s="85"/>
      <c r="C38" s="85" t="s">
        <v>213</v>
      </c>
      <c r="D38" s="85" t="s">
        <v>229</v>
      </c>
      <c r="E38" s="85" t="s">
        <v>230</v>
      </c>
      <c r="F38" s="85" t="s">
        <v>231</v>
      </c>
      <c r="G38" s="85" t="s">
        <v>232</v>
      </c>
      <c r="H38" s="85" t="s">
        <v>101</v>
      </c>
      <c r="I38" s="85" t="s">
        <v>233</v>
      </c>
      <c r="J38" s="85" t="s">
        <v>214</v>
      </c>
      <c r="K38" s="85" t="s">
        <v>134</v>
      </c>
      <c r="L38" s="85"/>
      <c r="M38" s="85" t="s">
        <v>234</v>
      </c>
      <c r="N38" s="85" t="s">
        <v>235</v>
      </c>
    </row>
    <row r="39" customFormat="false" ht="13.5" hidden="false" customHeight="true" outlineLevel="0" collapsed="false">
      <c r="A39" s="135" t="s">
        <v>185</v>
      </c>
      <c r="B39" s="135"/>
      <c r="C39" s="141" t="s">
        <v>190</v>
      </c>
      <c r="D39" s="141" t="n">
        <v>50</v>
      </c>
      <c r="E39" s="141" t="s">
        <v>236</v>
      </c>
      <c r="F39" s="141" t="n">
        <v>250</v>
      </c>
      <c r="G39" s="141" t="s">
        <v>237</v>
      </c>
      <c r="H39" s="137" t="s">
        <v>238</v>
      </c>
      <c r="I39" s="137" t="s">
        <v>239</v>
      </c>
      <c r="J39" s="141" t="s">
        <v>18</v>
      </c>
      <c r="K39" s="142" t="s">
        <v>240</v>
      </c>
      <c r="L39" s="142"/>
      <c r="M39" s="118" t="n">
        <v>38.14</v>
      </c>
      <c r="N39" s="120" t="n">
        <v>1336.4256</v>
      </c>
    </row>
    <row r="40" customFormat="false" ht="13.5" hidden="false" customHeight="true" outlineLevel="0" collapsed="false">
      <c r="A40" s="138" t="s">
        <v>187</v>
      </c>
      <c r="B40" s="138"/>
      <c r="C40" s="143" t="s">
        <v>188</v>
      </c>
      <c r="D40" s="143" t="n">
        <v>50</v>
      </c>
      <c r="E40" s="143" t="s">
        <v>236</v>
      </c>
      <c r="F40" s="143" t="n">
        <v>500</v>
      </c>
      <c r="G40" s="143" t="s">
        <v>241</v>
      </c>
      <c r="H40" s="137" t="s">
        <v>238</v>
      </c>
      <c r="I40" s="137" t="s">
        <v>239</v>
      </c>
      <c r="J40" s="143" t="s">
        <v>242</v>
      </c>
      <c r="K40" s="144" t="s">
        <v>243</v>
      </c>
      <c r="L40" s="144"/>
      <c r="M40" s="118" t="n">
        <v>9.09</v>
      </c>
      <c r="N40" s="120" t="n">
        <v>159.2568</v>
      </c>
    </row>
    <row r="41" customFormat="false" ht="13.5" hidden="false" customHeight="true" outlineLevel="0" collapsed="false">
      <c r="A41" s="135" t="s">
        <v>189</v>
      </c>
      <c r="B41" s="135"/>
      <c r="C41" s="141" t="s">
        <v>190</v>
      </c>
      <c r="D41" s="141" t="n">
        <v>250</v>
      </c>
      <c r="E41" s="141" t="s">
        <v>237</v>
      </c>
      <c r="F41" s="141" t="n">
        <v>250</v>
      </c>
      <c r="G41" s="141" t="s">
        <v>237</v>
      </c>
      <c r="H41" s="137" t="s">
        <v>238</v>
      </c>
      <c r="I41" s="145"/>
      <c r="J41" s="141" t="s">
        <v>244</v>
      </c>
      <c r="K41" s="135" t="s">
        <v>245</v>
      </c>
      <c r="L41" s="135"/>
      <c r="M41" s="124" t="s">
        <v>18</v>
      </c>
      <c r="N41" s="124" t="s">
        <v>18</v>
      </c>
    </row>
    <row r="42" customFormat="false" ht="13.5" hidden="false" customHeight="true" outlineLevel="0" collapsed="false">
      <c r="A42" s="138" t="s">
        <v>191</v>
      </c>
      <c r="B42" s="138"/>
      <c r="C42" s="143" t="s">
        <v>188</v>
      </c>
      <c r="D42" s="143" t="n">
        <v>500</v>
      </c>
      <c r="E42" s="143" t="s">
        <v>241</v>
      </c>
      <c r="F42" s="143" t="n">
        <v>500</v>
      </c>
      <c r="G42" s="143" t="s">
        <v>241</v>
      </c>
      <c r="H42" s="137" t="s">
        <v>238</v>
      </c>
      <c r="I42" s="137" t="s">
        <v>239</v>
      </c>
      <c r="J42" s="143" t="s">
        <v>244</v>
      </c>
      <c r="K42" s="144" t="s">
        <v>246</v>
      </c>
      <c r="L42" s="144"/>
      <c r="M42" s="118" t="n">
        <v>55.12</v>
      </c>
      <c r="N42" s="120" t="n">
        <v>965.7024</v>
      </c>
    </row>
    <row r="43" customFormat="false" ht="13.5" hidden="false" customHeight="true" outlineLevel="0" collapsed="false">
      <c r="A43" s="135" t="s">
        <v>193</v>
      </c>
      <c r="B43" s="135"/>
      <c r="C43" s="141" t="s">
        <v>188</v>
      </c>
      <c r="D43" s="141" t="n">
        <v>500</v>
      </c>
      <c r="E43" s="141" t="s">
        <v>241</v>
      </c>
      <c r="F43" s="141" t="n">
        <v>500</v>
      </c>
      <c r="G43" s="141" t="s">
        <v>241</v>
      </c>
      <c r="H43" s="137" t="s">
        <v>238</v>
      </c>
      <c r="I43" s="146" t="s">
        <v>247</v>
      </c>
      <c r="J43" s="141" t="s">
        <v>248</v>
      </c>
      <c r="K43" s="135" t="s">
        <v>249</v>
      </c>
      <c r="L43" s="135"/>
      <c r="M43" s="126" t="n">
        <v>45</v>
      </c>
      <c r="N43" s="125" t="n">
        <v>788.4</v>
      </c>
    </row>
    <row r="44" customFormat="false" ht="13.5" hidden="false" customHeight="true" outlineLevel="0" collapsed="false">
      <c r="A44" s="138" t="s">
        <v>194</v>
      </c>
      <c r="B44" s="138"/>
      <c r="C44" s="143" t="s">
        <v>188</v>
      </c>
      <c r="D44" s="143" t="n">
        <v>500</v>
      </c>
      <c r="E44" s="143" t="s">
        <v>241</v>
      </c>
      <c r="F44" s="143" t="n">
        <v>500</v>
      </c>
      <c r="G44" s="143" t="s">
        <v>241</v>
      </c>
      <c r="H44" s="137" t="s">
        <v>238</v>
      </c>
      <c r="I44" s="146" t="s">
        <v>247</v>
      </c>
      <c r="J44" s="143" t="s">
        <v>250</v>
      </c>
      <c r="K44" s="138" t="s">
        <v>249</v>
      </c>
      <c r="L44" s="138"/>
      <c r="M44" s="126" t="n">
        <v>35</v>
      </c>
      <c r="N44" s="125" t="n">
        <v>613.2</v>
      </c>
    </row>
    <row r="45" customFormat="false" ht="13.5" hidden="false" customHeight="true" outlineLevel="0" collapsed="false">
      <c r="A45" s="135" t="s">
        <v>251</v>
      </c>
      <c r="B45" s="135"/>
      <c r="C45" s="141" t="s">
        <v>188</v>
      </c>
      <c r="D45" s="141" t="n">
        <v>500</v>
      </c>
      <c r="E45" s="141" t="s">
        <v>241</v>
      </c>
      <c r="F45" s="141" t="n">
        <v>500</v>
      </c>
      <c r="G45" s="141" t="s">
        <v>241</v>
      </c>
      <c r="H45" s="137" t="s">
        <v>238</v>
      </c>
      <c r="I45" s="145"/>
      <c r="J45" s="141" t="s">
        <v>252</v>
      </c>
      <c r="K45" s="135" t="s">
        <v>253</v>
      </c>
      <c r="L45" s="135"/>
      <c r="M45" s="126" t="n">
        <v>8</v>
      </c>
      <c r="N45" s="125" t="n">
        <v>140.16</v>
      </c>
    </row>
    <row r="46" customFormat="false" ht="13.5" hidden="false" customHeight="true" outlineLevel="0" collapsed="false">
      <c r="A46" s="138" t="s">
        <v>196</v>
      </c>
      <c r="B46" s="138"/>
      <c r="C46" s="143" t="s">
        <v>190</v>
      </c>
      <c r="D46" s="143" t="n">
        <v>250</v>
      </c>
      <c r="E46" s="143" t="s">
        <v>237</v>
      </c>
      <c r="F46" s="143" t="n">
        <v>250</v>
      </c>
      <c r="G46" s="143" t="s">
        <v>237</v>
      </c>
      <c r="H46" s="137" t="s">
        <v>238</v>
      </c>
      <c r="I46" s="145"/>
      <c r="J46" s="143" t="s">
        <v>18</v>
      </c>
      <c r="K46" s="138" t="s">
        <v>254</v>
      </c>
      <c r="L46" s="138"/>
      <c r="M46" s="128" t="s">
        <v>18</v>
      </c>
      <c r="N46" s="128" t="s">
        <v>18</v>
      </c>
    </row>
    <row r="47" customFormat="false" ht="13.5" hidden="false" customHeight="true" outlineLevel="0" collapsed="false">
      <c r="A47" s="135" t="s">
        <v>255</v>
      </c>
      <c r="B47" s="135"/>
      <c r="C47" s="141" t="s">
        <v>190</v>
      </c>
      <c r="D47" s="141" t="n">
        <v>250</v>
      </c>
      <c r="E47" s="141" t="s">
        <v>237</v>
      </c>
      <c r="F47" s="141" t="n">
        <v>250</v>
      </c>
      <c r="G47" s="141" t="s">
        <v>237</v>
      </c>
      <c r="H47" s="137" t="s">
        <v>238</v>
      </c>
      <c r="I47" s="145"/>
      <c r="J47" s="141" t="s">
        <v>256</v>
      </c>
      <c r="K47" s="135" t="s">
        <v>257</v>
      </c>
      <c r="L47" s="135"/>
      <c r="M47" s="126" t="n">
        <v>2</v>
      </c>
      <c r="N47" s="125" t="n">
        <v>70.08</v>
      </c>
    </row>
    <row r="48" customFormat="false" ht="13.5" hidden="false" customHeight="true" outlineLevel="0" collapsed="false">
      <c r="A48" s="138" t="s">
        <v>198</v>
      </c>
      <c r="B48" s="138"/>
      <c r="C48" s="143" t="s">
        <v>188</v>
      </c>
      <c r="D48" s="143" t="n">
        <v>500</v>
      </c>
      <c r="E48" s="143" t="s">
        <v>241</v>
      </c>
      <c r="F48" s="143" t="n">
        <v>500</v>
      </c>
      <c r="G48" s="143" t="s">
        <v>241</v>
      </c>
      <c r="H48" s="137" t="s">
        <v>238</v>
      </c>
      <c r="I48" s="145"/>
      <c r="J48" s="143" t="s">
        <v>18</v>
      </c>
      <c r="K48" s="138" t="s">
        <v>258</v>
      </c>
      <c r="L48" s="138"/>
      <c r="M48" s="128" t="s">
        <v>18</v>
      </c>
      <c r="N48" s="128" t="s">
        <v>18</v>
      </c>
    </row>
    <row r="49" customFormat="false" ht="13.5" hidden="false" customHeight="true" outlineLevel="0" collapsed="false">
      <c r="A49" s="135" t="s">
        <v>259</v>
      </c>
      <c r="B49" s="135"/>
      <c r="C49" s="141" t="s">
        <v>200</v>
      </c>
      <c r="D49" s="141" t="n">
        <v>1000</v>
      </c>
      <c r="E49" s="141" t="s">
        <v>260</v>
      </c>
      <c r="F49" s="141" t="n">
        <v>1000</v>
      </c>
      <c r="G49" s="141" t="s">
        <v>260</v>
      </c>
      <c r="H49" s="137" t="s">
        <v>238</v>
      </c>
      <c r="I49" s="137" t="s">
        <v>261</v>
      </c>
      <c r="J49" s="141" t="s">
        <v>18</v>
      </c>
      <c r="K49" s="142" t="s">
        <v>262</v>
      </c>
      <c r="L49" s="142"/>
      <c r="M49" s="118" t="n">
        <v>26.86</v>
      </c>
      <c r="N49" s="120" t="n">
        <v>235.2936</v>
      </c>
    </row>
    <row r="50" customFormat="false" ht="7.5" hidden="false" customHeight="true" outlineLevel="0" collapsed="false">
      <c r="A50" s="138" t="s">
        <v>202</v>
      </c>
      <c r="B50" s="134"/>
      <c r="C50" s="143" t="s">
        <v>203</v>
      </c>
      <c r="D50" s="143" t="n">
        <v>1500</v>
      </c>
      <c r="E50" s="143" t="s">
        <v>263</v>
      </c>
      <c r="F50" s="143" t="n">
        <v>1500</v>
      </c>
      <c r="G50" s="143" t="s">
        <v>263</v>
      </c>
      <c r="H50" s="137" t="s">
        <v>238</v>
      </c>
      <c r="I50" s="145"/>
      <c r="J50" s="143" t="s">
        <v>18</v>
      </c>
      <c r="K50" s="138" t="s">
        <v>264</v>
      </c>
      <c r="L50" s="134"/>
      <c r="M50" s="126" t="n">
        <v>85</v>
      </c>
      <c r="N50" s="125" t="n">
        <v>496.4</v>
      </c>
    </row>
    <row r="51" customFormat="false" ht="15.75" hidden="false" customHeight="true" outlineLevel="0" collapsed="false">
      <c r="A51" s="135" t="s">
        <v>265</v>
      </c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29" t="s">
        <v>206</v>
      </c>
      <c r="N51" s="129" t="s">
        <v>206</v>
      </c>
    </row>
    <row r="52" customFormat="false" ht="27.75" hidden="false" customHeight="true" outlineLevel="0" collapsed="false">
      <c r="A52" s="138" t="s">
        <v>207</v>
      </c>
      <c r="B52" s="138"/>
      <c r="C52" s="143" t="s">
        <v>208</v>
      </c>
      <c r="D52" s="143" t="n">
        <v>3000</v>
      </c>
      <c r="E52" s="143" t="s">
        <v>266</v>
      </c>
      <c r="F52" s="143" t="n">
        <v>3000</v>
      </c>
      <c r="G52" s="143" t="s">
        <v>266</v>
      </c>
      <c r="H52" s="137" t="s">
        <v>238</v>
      </c>
      <c r="I52" s="145"/>
      <c r="J52" s="143" t="s">
        <v>18</v>
      </c>
      <c r="K52" s="138" t="s">
        <v>264</v>
      </c>
      <c r="L52" s="138"/>
      <c r="M52" s="129" t="s">
        <v>206</v>
      </c>
      <c r="N52" s="129" t="s">
        <v>206</v>
      </c>
    </row>
    <row r="53" customFormat="false" ht="13.5" hidden="false" customHeight="true" outlineLevel="0" collapsed="false">
      <c r="A53" s="135" t="s">
        <v>210</v>
      </c>
      <c r="B53" s="135"/>
      <c r="C53" s="141" t="s">
        <v>208</v>
      </c>
      <c r="D53" s="141" t="n">
        <v>3000</v>
      </c>
      <c r="E53" s="141" t="s">
        <v>266</v>
      </c>
      <c r="F53" s="141" t="n">
        <v>3000</v>
      </c>
      <c r="G53" s="141" t="s">
        <v>266</v>
      </c>
      <c r="H53" s="137" t="s">
        <v>238</v>
      </c>
      <c r="I53" s="145"/>
      <c r="J53" s="141" t="s">
        <v>18</v>
      </c>
      <c r="K53" s="135" t="s">
        <v>264</v>
      </c>
      <c r="L53" s="135"/>
      <c r="M53" s="129" t="s">
        <v>206</v>
      </c>
      <c r="N53" s="129" t="s">
        <v>206</v>
      </c>
    </row>
    <row r="54" customFormat="false" ht="13.5" hidden="false" customHeight="true" outlineLevel="0" collapsed="false">
      <c r="A54" s="115"/>
      <c r="B54" s="115"/>
      <c r="K54" s="115"/>
      <c r="L54" s="115"/>
    </row>
    <row r="55" customFormat="false" ht="13.5" hidden="false" customHeight="true" outlineLevel="0" collapsed="false">
      <c r="A55" s="147" t="s">
        <v>267</v>
      </c>
      <c r="B55" s="147"/>
      <c r="K55" s="115"/>
      <c r="L55" s="115"/>
    </row>
    <row r="56" customFormat="false" ht="13.5" hidden="false" customHeight="true" outlineLevel="0" collapsed="false">
      <c r="A56" s="83" t="s">
        <v>181</v>
      </c>
      <c r="B56" s="83"/>
      <c r="C56" s="83" t="s">
        <v>213</v>
      </c>
      <c r="D56" s="83" t="s">
        <v>229</v>
      </c>
      <c r="E56" s="83" t="s">
        <v>230</v>
      </c>
      <c r="F56" s="83" t="s">
        <v>231</v>
      </c>
      <c r="G56" s="83" t="s">
        <v>232</v>
      </c>
      <c r="H56" s="83" t="s">
        <v>101</v>
      </c>
      <c r="I56" s="83" t="s">
        <v>233</v>
      </c>
      <c r="J56" s="83" t="s">
        <v>214</v>
      </c>
      <c r="K56" s="83" t="s">
        <v>134</v>
      </c>
      <c r="L56" s="83"/>
      <c r="M56" s="85" t="s">
        <v>234</v>
      </c>
      <c r="N56" s="85" t="s">
        <v>235</v>
      </c>
    </row>
    <row r="57" customFormat="false" ht="13.5" hidden="false" customHeight="true" outlineLevel="0" collapsed="false">
      <c r="A57" s="135" t="s">
        <v>185</v>
      </c>
      <c r="B57" s="135"/>
      <c r="C57" s="141" t="s">
        <v>190</v>
      </c>
      <c r="D57" s="141" t="n">
        <v>50</v>
      </c>
      <c r="E57" s="141" t="s">
        <v>236</v>
      </c>
      <c r="F57" s="141" t="n">
        <v>250</v>
      </c>
      <c r="G57" s="141" t="s">
        <v>237</v>
      </c>
      <c r="H57" s="137" t="s">
        <v>238</v>
      </c>
      <c r="I57" s="137" t="s">
        <v>239</v>
      </c>
      <c r="J57" s="141" t="s">
        <v>18</v>
      </c>
      <c r="K57" s="142" t="s">
        <v>240</v>
      </c>
      <c r="L57" s="142"/>
      <c r="M57" s="118" t="n">
        <v>38.14</v>
      </c>
      <c r="N57" s="120" t="n">
        <v>1336.4256</v>
      </c>
    </row>
    <row r="58" customFormat="false" ht="13.5" hidden="false" customHeight="true" outlineLevel="0" collapsed="false">
      <c r="A58" s="138" t="s">
        <v>187</v>
      </c>
      <c r="B58" s="138"/>
      <c r="C58" s="143" t="s">
        <v>188</v>
      </c>
      <c r="D58" s="143" t="n">
        <v>50</v>
      </c>
      <c r="E58" s="143" t="s">
        <v>236</v>
      </c>
      <c r="F58" s="143" t="n">
        <v>500</v>
      </c>
      <c r="G58" s="143" t="s">
        <v>241</v>
      </c>
      <c r="H58" s="137" t="s">
        <v>238</v>
      </c>
      <c r="I58" s="137" t="s">
        <v>239</v>
      </c>
      <c r="J58" s="143" t="s">
        <v>242</v>
      </c>
      <c r="K58" s="144" t="s">
        <v>243</v>
      </c>
      <c r="L58" s="144"/>
      <c r="M58" s="118" t="n">
        <v>9.09</v>
      </c>
      <c r="N58" s="120" t="n">
        <v>159.2568</v>
      </c>
    </row>
    <row r="59" customFormat="false" ht="13.5" hidden="false" customHeight="true" outlineLevel="0" collapsed="false">
      <c r="A59" s="135" t="s">
        <v>189</v>
      </c>
      <c r="B59" s="135"/>
      <c r="C59" s="141" t="s">
        <v>190</v>
      </c>
      <c r="D59" s="141" t="n">
        <v>250</v>
      </c>
      <c r="E59" s="141" t="s">
        <v>237</v>
      </c>
      <c r="F59" s="141" t="n">
        <v>250</v>
      </c>
      <c r="G59" s="141" t="s">
        <v>237</v>
      </c>
      <c r="H59" s="137" t="s">
        <v>238</v>
      </c>
      <c r="I59" s="145"/>
      <c r="J59" s="141" t="s">
        <v>244</v>
      </c>
      <c r="K59" s="135" t="s">
        <v>245</v>
      </c>
      <c r="L59" s="135"/>
      <c r="M59" s="124" t="s">
        <v>18</v>
      </c>
      <c r="N59" s="124" t="s">
        <v>18</v>
      </c>
    </row>
    <row r="60" customFormat="false" ht="13.5" hidden="false" customHeight="true" outlineLevel="0" collapsed="false">
      <c r="A60" s="138" t="s">
        <v>191</v>
      </c>
      <c r="B60" s="138"/>
      <c r="C60" s="143" t="s">
        <v>188</v>
      </c>
      <c r="D60" s="143" t="n">
        <v>500</v>
      </c>
      <c r="E60" s="143" t="s">
        <v>241</v>
      </c>
      <c r="F60" s="143" t="n">
        <v>500</v>
      </c>
      <c r="G60" s="143" t="s">
        <v>241</v>
      </c>
      <c r="H60" s="137" t="s">
        <v>238</v>
      </c>
      <c r="I60" s="137" t="s">
        <v>239</v>
      </c>
      <c r="J60" s="143" t="s">
        <v>244</v>
      </c>
      <c r="K60" s="144" t="s">
        <v>246</v>
      </c>
      <c r="L60" s="144"/>
      <c r="M60" s="118" t="n">
        <v>55.12</v>
      </c>
      <c r="N60" s="120" t="n">
        <v>965.7024</v>
      </c>
    </row>
    <row r="61" customFormat="false" ht="13.5" hidden="false" customHeight="true" outlineLevel="0" collapsed="false">
      <c r="A61" s="135" t="s">
        <v>193</v>
      </c>
      <c r="B61" s="135"/>
      <c r="C61" s="141" t="s">
        <v>188</v>
      </c>
      <c r="D61" s="141" t="n">
        <v>500</v>
      </c>
      <c r="E61" s="141" t="s">
        <v>241</v>
      </c>
      <c r="F61" s="141" t="n">
        <v>500</v>
      </c>
      <c r="G61" s="141" t="s">
        <v>241</v>
      </c>
      <c r="H61" s="137" t="s">
        <v>238</v>
      </c>
      <c r="I61" s="146" t="s">
        <v>247</v>
      </c>
      <c r="J61" s="141" t="s">
        <v>248</v>
      </c>
      <c r="K61" s="135" t="s">
        <v>249</v>
      </c>
      <c r="L61" s="135"/>
      <c r="M61" s="126" t="n">
        <v>45</v>
      </c>
      <c r="N61" s="125" t="n">
        <v>788.4</v>
      </c>
    </row>
    <row r="62" customFormat="false" ht="13.5" hidden="false" customHeight="true" outlineLevel="0" collapsed="false">
      <c r="A62" s="138" t="s">
        <v>194</v>
      </c>
      <c r="B62" s="138"/>
      <c r="C62" s="143" t="s">
        <v>188</v>
      </c>
      <c r="D62" s="143" t="n">
        <v>500</v>
      </c>
      <c r="E62" s="143" t="s">
        <v>241</v>
      </c>
      <c r="F62" s="143" t="n">
        <v>500</v>
      </c>
      <c r="G62" s="143" t="s">
        <v>241</v>
      </c>
      <c r="H62" s="137" t="s">
        <v>238</v>
      </c>
      <c r="I62" s="146" t="s">
        <v>247</v>
      </c>
      <c r="J62" s="143" t="s">
        <v>250</v>
      </c>
      <c r="K62" s="138" t="s">
        <v>249</v>
      </c>
      <c r="L62" s="138"/>
      <c r="M62" s="126" t="n">
        <v>35</v>
      </c>
      <c r="N62" s="125" t="n">
        <v>613.2</v>
      </c>
    </row>
    <row r="63" customFormat="false" ht="13.5" hidden="false" customHeight="true" outlineLevel="0" collapsed="false">
      <c r="A63" s="135" t="s">
        <v>251</v>
      </c>
      <c r="B63" s="135"/>
      <c r="C63" s="141" t="s">
        <v>188</v>
      </c>
      <c r="D63" s="141" t="n">
        <v>500</v>
      </c>
      <c r="E63" s="141" t="s">
        <v>241</v>
      </c>
      <c r="F63" s="141" t="n">
        <v>500</v>
      </c>
      <c r="G63" s="141" t="s">
        <v>241</v>
      </c>
      <c r="H63" s="137" t="s">
        <v>238</v>
      </c>
      <c r="I63" s="145"/>
      <c r="J63" s="141" t="s">
        <v>252</v>
      </c>
      <c r="K63" s="135" t="s">
        <v>253</v>
      </c>
      <c r="L63" s="135"/>
      <c r="M63" s="126" t="n">
        <v>8</v>
      </c>
      <c r="N63" s="125" t="n">
        <v>140.16</v>
      </c>
    </row>
    <row r="64" customFormat="false" ht="13.5" hidden="false" customHeight="true" outlineLevel="0" collapsed="false">
      <c r="A64" s="138" t="s">
        <v>196</v>
      </c>
      <c r="B64" s="138"/>
      <c r="C64" s="143" t="s">
        <v>190</v>
      </c>
      <c r="D64" s="143" t="n">
        <v>250</v>
      </c>
      <c r="E64" s="143" t="s">
        <v>237</v>
      </c>
      <c r="F64" s="143" t="n">
        <v>250</v>
      </c>
      <c r="G64" s="143" t="s">
        <v>237</v>
      </c>
      <c r="H64" s="137" t="s">
        <v>238</v>
      </c>
      <c r="I64" s="145"/>
      <c r="J64" s="143" t="s">
        <v>18</v>
      </c>
      <c r="K64" s="138" t="s">
        <v>254</v>
      </c>
      <c r="L64" s="138"/>
      <c r="M64" s="128" t="s">
        <v>18</v>
      </c>
      <c r="N64" s="128" t="s">
        <v>18</v>
      </c>
    </row>
    <row r="65" customFormat="false" ht="13.5" hidden="false" customHeight="true" outlineLevel="0" collapsed="false">
      <c r="A65" s="135" t="s">
        <v>255</v>
      </c>
      <c r="B65" s="135"/>
      <c r="C65" s="141" t="s">
        <v>190</v>
      </c>
      <c r="D65" s="141" t="n">
        <v>250</v>
      </c>
      <c r="E65" s="141" t="s">
        <v>237</v>
      </c>
      <c r="F65" s="141" t="n">
        <v>250</v>
      </c>
      <c r="G65" s="141" t="s">
        <v>237</v>
      </c>
      <c r="H65" s="137" t="s">
        <v>238</v>
      </c>
      <c r="I65" s="145"/>
      <c r="J65" s="141" t="s">
        <v>256</v>
      </c>
      <c r="K65" s="135" t="s">
        <v>257</v>
      </c>
      <c r="L65" s="135"/>
      <c r="M65" s="126" t="n">
        <v>2</v>
      </c>
      <c r="N65" s="125" t="n">
        <v>70.08</v>
      </c>
    </row>
    <row r="66" customFormat="false" ht="13.5" hidden="false" customHeight="true" outlineLevel="0" collapsed="false">
      <c r="A66" s="138" t="s">
        <v>198</v>
      </c>
      <c r="B66" s="138"/>
      <c r="C66" s="143" t="s">
        <v>188</v>
      </c>
      <c r="D66" s="143" t="n">
        <v>500</v>
      </c>
      <c r="E66" s="143" t="s">
        <v>241</v>
      </c>
      <c r="F66" s="143" t="n">
        <v>500</v>
      </c>
      <c r="G66" s="143" t="s">
        <v>241</v>
      </c>
      <c r="H66" s="137" t="s">
        <v>238</v>
      </c>
      <c r="I66" s="145"/>
      <c r="J66" s="143" t="s">
        <v>18</v>
      </c>
      <c r="K66" s="138" t="s">
        <v>258</v>
      </c>
      <c r="L66" s="138"/>
      <c r="M66" s="128" t="s">
        <v>18</v>
      </c>
      <c r="N66" s="128" t="s">
        <v>18</v>
      </c>
    </row>
    <row r="67" customFormat="false" ht="13.5" hidden="false" customHeight="true" outlineLevel="0" collapsed="false">
      <c r="A67" s="135" t="s">
        <v>259</v>
      </c>
      <c r="B67" s="135"/>
      <c r="C67" s="141" t="s">
        <v>200</v>
      </c>
      <c r="D67" s="141" t="n">
        <v>1000</v>
      </c>
      <c r="E67" s="141" t="s">
        <v>260</v>
      </c>
      <c r="F67" s="141" t="n">
        <v>1000</v>
      </c>
      <c r="G67" s="141" t="s">
        <v>260</v>
      </c>
      <c r="H67" s="137" t="s">
        <v>238</v>
      </c>
      <c r="I67" s="137" t="s">
        <v>261</v>
      </c>
      <c r="J67" s="141" t="s">
        <v>18</v>
      </c>
      <c r="K67" s="142" t="s">
        <v>262</v>
      </c>
      <c r="L67" s="142"/>
      <c r="M67" s="118" t="n">
        <v>26.86</v>
      </c>
      <c r="N67" s="120" t="n">
        <v>235.2936</v>
      </c>
    </row>
    <row r="68" customFormat="false" ht="7.5" hidden="false" customHeight="true" outlineLevel="0" collapsed="false">
      <c r="A68" s="138" t="s">
        <v>202</v>
      </c>
      <c r="B68" s="134"/>
      <c r="C68" s="143" t="s">
        <v>203</v>
      </c>
      <c r="D68" s="143" t="n">
        <v>1500</v>
      </c>
      <c r="E68" s="143" t="s">
        <v>263</v>
      </c>
      <c r="F68" s="143" t="n">
        <v>1500</v>
      </c>
      <c r="G68" s="143" t="s">
        <v>263</v>
      </c>
      <c r="H68" s="137" t="s">
        <v>238</v>
      </c>
      <c r="I68" s="145"/>
      <c r="J68" s="143" t="s">
        <v>18</v>
      </c>
      <c r="K68" s="138" t="s">
        <v>264</v>
      </c>
      <c r="L68" s="134"/>
      <c r="M68" s="126" t="n">
        <v>85</v>
      </c>
      <c r="N68" s="125" t="n">
        <v>496.4</v>
      </c>
    </row>
    <row r="69" customFormat="false" ht="15.75" hidden="false" customHeight="true" outlineLevel="0" collapsed="false">
      <c r="A69" s="135" t="s">
        <v>265</v>
      </c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29" t="s">
        <v>206</v>
      </c>
      <c r="N69" s="129" t="s">
        <v>206</v>
      </c>
    </row>
    <row r="70" customFormat="false" ht="15.75" hidden="false" customHeight="true" outlineLevel="0" collapsed="false">
      <c r="A70" s="138" t="s">
        <v>207</v>
      </c>
      <c r="B70" s="138"/>
      <c r="C70" s="143" t="s">
        <v>208</v>
      </c>
      <c r="D70" s="143"/>
      <c r="E70" s="143"/>
      <c r="F70" s="143"/>
      <c r="G70" s="143" t="s">
        <v>266</v>
      </c>
      <c r="H70" s="143"/>
      <c r="I70" s="145"/>
      <c r="J70" s="143" t="s">
        <v>18</v>
      </c>
      <c r="K70" s="138" t="s">
        <v>264</v>
      </c>
      <c r="L70" s="138"/>
      <c r="M70" s="129" t="s">
        <v>206</v>
      </c>
      <c r="N70" s="129" t="s">
        <v>206</v>
      </c>
    </row>
    <row r="71" customFormat="false" ht="13.5" hidden="false" customHeight="true" outlineLevel="0" collapsed="false">
      <c r="A71" s="135" t="s">
        <v>210</v>
      </c>
      <c r="B71" s="135"/>
      <c r="C71" s="141" t="s">
        <v>208</v>
      </c>
      <c r="D71" s="141"/>
      <c r="E71" s="141"/>
      <c r="F71" s="141"/>
      <c r="G71" s="141" t="s">
        <v>266</v>
      </c>
      <c r="H71" s="141"/>
      <c r="I71" s="145"/>
      <c r="J71" s="141" t="s">
        <v>18</v>
      </c>
      <c r="K71" s="135" t="s">
        <v>264</v>
      </c>
      <c r="L71" s="135"/>
      <c r="M71" s="129" t="s">
        <v>206</v>
      </c>
      <c r="N71" s="129" t="s">
        <v>206</v>
      </c>
    </row>
    <row r="72" customFormat="false" ht="13.5" hidden="false" customHeight="true" outlineLevel="0" collapsed="false">
      <c r="A72" s="115"/>
      <c r="B72" s="115"/>
      <c r="C72" s="115"/>
      <c r="D72" s="115"/>
      <c r="E72" s="115"/>
      <c r="F72" s="115"/>
      <c r="G72" s="115"/>
      <c r="H72" s="115"/>
      <c r="K72" s="115"/>
      <c r="L72" s="115"/>
    </row>
    <row r="73" customFormat="false" ht="13.5" hidden="false" customHeight="true" outlineLevel="0" collapsed="false">
      <c r="A73" s="148" t="s">
        <v>268</v>
      </c>
      <c r="B73" s="148"/>
      <c r="C73" s="115"/>
      <c r="D73" s="115"/>
      <c r="E73" s="115"/>
      <c r="F73" s="115"/>
      <c r="G73" s="115"/>
      <c r="H73" s="115"/>
      <c r="K73" s="115"/>
      <c r="L73" s="115"/>
    </row>
    <row r="74" customFormat="false" ht="13.5" hidden="false" customHeight="true" outlineLevel="0" collapsed="false">
      <c r="A74" s="84" t="s">
        <v>181</v>
      </c>
      <c r="B74" s="84"/>
      <c r="C74" s="84" t="s">
        <v>213</v>
      </c>
      <c r="D74" s="84"/>
      <c r="E74" s="84"/>
      <c r="F74" s="84"/>
      <c r="G74" s="84" t="s">
        <v>232</v>
      </c>
      <c r="H74" s="84"/>
      <c r="I74" s="84" t="s">
        <v>233</v>
      </c>
      <c r="J74" s="84" t="s">
        <v>214</v>
      </c>
      <c r="K74" s="84" t="s">
        <v>134</v>
      </c>
      <c r="L74" s="84"/>
      <c r="M74" s="85" t="s">
        <v>234</v>
      </c>
      <c r="N74" s="85" t="s">
        <v>235</v>
      </c>
    </row>
    <row r="75" customFormat="false" ht="13.5" hidden="false" customHeight="true" outlineLevel="0" collapsed="false">
      <c r="A75" s="135" t="s">
        <v>185</v>
      </c>
      <c r="B75" s="135"/>
      <c r="C75" s="141" t="s">
        <v>190</v>
      </c>
      <c r="D75" s="141"/>
      <c r="E75" s="141"/>
      <c r="F75" s="141"/>
      <c r="G75" s="141" t="s">
        <v>237</v>
      </c>
      <c r="H75" s="141"/>
      <c r="I75" s="137" t="s">
        <v>239</v>
      </c>
      <c r="J75" s="141" t="s">
        <v>18</v>
      </c>
      <c r="K75" s="142" t="s">
        <v>240</v>
      </c>
      <c r="L75" s="142"/>
      <c r="M75" s="118" t="n">
        <v>38.14</v>
      </c>
      <c r="N75" s="120" t="n">
        <v>1336.4256</v>
      </c>
    </row>
    <row r="76" customFormat="false" ht="13.5" hidden="false" customHeight="true" outlineLevel="0" collapsed="false">
      <c r="A76" s="138" t="s">
        <v>187</v>
      </c>
      <c r="B76" s="138"/>
      <c r="C76" s="143" t="s">
        <v>188</v>
      </c>
      <c r="D76" s="143"/>
      <c r="E76" s="143"/>
      <c r="F76" s="143"/>
      <c r="G76" s="143" t="s">
        <v>241</v>
      </c>
      <c r="H76" s="143"/>
      <c r="I76" s="137" t="s">
        <v>239</v>
      </c>
      <c r="J76" s="143" t="s">
        <v>242</v>
      </c>
      <c r="K76" s="144" t="s">
        <v>243</v>
      </c>
      <c r="L76" s="144"/>
      <c r="M76" s="118" t="n">
        <v>9.09</v>
      </c>
      <c r="N76" s="120" t="n">
        <v>159.2568</v>
      </c>
    </row>
    <row r="77" customFormat="false" ht="13.5" hidden="false" customHeight="true" outlineLevel="0" collapsed="false">
      <c r="A77" s="135" t="s">
        <v>189</v>
      </c>
      <c r="B77" s="135"/>
      <c r="C77" s="141" t="s">
        <v>190</v>
      </c>
      <c r="D77" s="141"/>
      <c r="E77" s="141"/>
      <c r="F77" s="141"/>
      <c r="G77" s="141" t="s">
        <v>237</v>
      </c>
      <c r="H77" s="141"/>
      <c r="I77" s="145"/>
      <c r="J77" s="141" t="s">
        <v>244</v>
      </c>
      <c r="K77" s="135" t="s">
        <v>245</v>
      </c>
      <c r="L77" s="135"/>
      <c r="M77" s="124" t="s">
        <v>18</v>
      </c>
      <c r="N77" s="124" t="s">
        <v>18</v>
      </c>
    </row>
    <row r="78" customFormat="false" ht="13.5" hidden="false" customHeight="true" outlineLevel="0" collapsed="false">
      <c r="A78" s="138" t="s">
        <v>191</v>
      </c>
      <c r="B78" s="138"/>
      <c r="C78" s="143" t="s">
        <v>188</v>
      </c>
      <c r="D78" s="143"/>
      <c r="E78" s="143"/>
      <c r="F78" s="143"/>
      <c r="G78" s="143" t="s">
        <v>241</v>
      </c>
      <c r="H78" s="143"/>
      <c r="I78" s="137" t="s">
        <v>239</v>
      </c>
      <c r="J78" s="143" t="s">
        <v>244</v>
      </c>
      <c r="K78" s="144" t="s">
        <v>246</v>
      </c>
      <c r="L78" s="144"/>
      <c r="M78" s="118" t="n">
        <v>55.12</v>
      </c>
      <c r="N78" s="120" t="n">
        <v>965.7024</v>
      </c>
    </row>
    <row r="79" customFormat="false" ht="13.5" hidden="false" customHeight="true" outlineLevel="0" collapsed="false">
      <c r="A79" s="135" t="s">
        <v>193</v>
      </c>
      <c r="B79" s="135"/>
      <c r="C79" s="141" t="s">
        <v>188</v>
      </c>
      <c r="D79" s="141"/>
      <c r="E79" s="141"/>
      <c r="F79" s="141"/>
      <c r="G79" s="141" t="s">
        <v>241</v>
      </c>
      <c r="H79" s="141"/>
      <c r="I79" s="146" t="s">
        <v>247</v>
      </c>
      <c r="J79" s="141" t="s">
        <v>248</v>
      </c>
      <c r="K79" s="135" t="s">
        <v>249</v>
      </c>
      <c r="L79" s="135"/>
      <c r="M79" s="126" t="n">
        <v>45</v>
      </c>
      <c r="N79" s="125" t="n">
        <v>788.4</v>
      </c>
    </row>
    <row r="80" customFormat="false" ht="13.5" hidden="false" customHeight="true" outlineLevel="0" collapsed="false">
      <c r="A80" s="138" t="s">
        <v>194</v>
      </c>
      <c r="B80" s="138"/>
      <c r="C80" s="143" t="s">
        <v>188</v>
      </c>
      <c r="D80" s="143"/>
      <c r="E80" s="143"/>
      <c r="F80" s="143"/>
      <c r="G80" s="143" t="s">
        <v>241</v>
      </c>
      <c r="H80" s="143"/>
      <c r="I80" s="146" t="s">
        <v>247</v>
      </c>
      <c r="J80" s="143" t="s">
        <v>250</v>
      </c>
      <c r="K80" s="138" t="s">
        <v>249</v>
      </c>
      <c r="L80" s="138"/>
      <c r="M80" s="126" t="n">
        <v>35</v>
      </c>
      <c r="N80" s="125" t="n">
        <v>613.2</v>
      </c>
    </row>
    <row r="81" customFormat="false" ht="13.5" hidden="false" customHeight="true" outlineLevel="0" collapsed="false">
      <c r="A81" s="135" t="s">
        <v>251</v>
      </c>
      <c r="B81" s="135"/>
      <c r="C81" s="141" t="s">
        <v>188</v>
      </c>
      <c r="D81" s="141"/>
      <c r="E81" s="141"/>
      <c r="F81" s="141"/>
      <c r="G81" s="141" t="s">
        <v>241</v>
      </c>
      <c r="H81" s="141"/>
      <c r="I81" s="145"/>
      <c r="J81" s="141" t="s">
        <v>252</v>
      </c>
      <c r="K81" s="135" t="s">
        <v>253</v>
      </c>
      <c r="L81" s="135"/>
      <c r="M81" s="126" t="n">
        <v>8</v>
      </c>
      <c r="N81" s="125" t="n">
        <v>140.16</v>
      </c>
    </row>
    <row r="82" customFormat="false" ht="13.5" hidden="false" customHeight="true" outlineLevel="0" collapsed="false">
      <c r="A82" s="138" t="s">
        <v>196</v>
      </c>
      <c r="B82" s="138"/>
      <c r="C82" s="143" t="s">
        <v>190</v>
      </c>
      <c r="D82" s="143"/>
      <c r="E82" s="143"/>
      <c r="F82" s="143"/>
      <c r="G82" s="143" t="s">
        <v>237</v>
      </c>
      <c r="H82" s="143"/>
      <c r="I82" s="145"/>
      <c r="J82" s="143" t="s">
        <v>18</v>
      </c>
      <c r="K82" s="138" t="s">
        <v>254</v>
      </c>
      <c r="L82" s="138"/>
      <c r="M82" s="128" t="s">
        <v>18</v>
      </c>
      <c r="N82" s="128" t="s">
        <v>18</v>
      </c>
    </row>
    <row r="83" customFormat="false" ht="13.5" hidden="false" customHeight="true" outlineLevel="0" collapsed="false">
      <c r="A83" s="135" t="s">
        <v>255</v>
      </c>
      <c r="B83" s="135"/>
      <c r="C83" s="141" t="s">
        <v>190</v>
      </c>
      <c r="D83" s="141"/>
      <c r="E83" s="141"/>
      <c r="F83" s="141"/>
      <c r="G83" s="141" t="s">
        <v>237</v>
      </c>
      <c r="H83" s="141"/>
      <c r="I83" s="145"/>
      <c r="J83" s="141" t="s">
        <v>256</v>
      </c>
      <c r="K83" s="135" t="s">
        <v>257</v>
      </c>
      <c r="L83" s="135"/>
      <c r="M83" s="126" t="n">
        <v>2</v>
      </c>
      <c r="N83" s="125" t="n">
        <v>70.08</v>
      </c>
    </row>
    <row r="84" customFormat="false" ht="13.5" hidden="false" customHeight="true" outlineLevel="0" collapsed="false">
      <c r="A84" s="138" t="s">
        <v>198</v>
      </c>
      <c r="B84" s="138"/>
      <c r="C84" s="143" t="s">
        <v>188</v>
      </c>
      <c r="D84" s="143"/>
      <c r="E84" s="143"/>
      <c r="F84" s="143"/>
      <c r="G84" s="143" t="s">
        <v>241</v>
      </c>
      <c r="H84" s="143"/>
      <c r="I84" s="145"/>
      <c r="J84" s="143" t="s">
        <v>18</v>
      </c>
      <c r="K84" s="138" t="s">
        <v>258</v>
      </c>
      <c r="L84" s="138"/>
      <c r="M84" s="128" t="s">
        <v>18</v>
      </c>
      <c r="N84" s="128" t="s">
        <v>18</v>
      </c>
    </row>
    <row r="85" customFormat="false" ht="13.5" hidden="false" customHeight="true" outlineLevel="0" collapsed="false">
      <c r="A85" s="135" t="s">
        <v>259</v>
      </c>
      <c r="B85" s="135"/>
      <c r="C85" s="141" t="s">
        <v>200</v>
      </c>
      <c r="D85" s="141"/>
      <c r="E85" s="141"/>
      <c r="F85" s="141"/>
      <c r="G85" s="141" t="s">
        <v>260</v>
      </c>
      <c r="H85" s="141"/>
      <c r="I85" s="137" t="s">
        <v>261</v>
      </c>
      <c r="J85" s="141" t="s">
        <v>18</v>
      </c>
      <c r="K85" s="142" t="s">
        <v>262</v>
      </c>
      <c r="L85" s="142"/>
      <c r="M85" s="118" t="n">
        <v>26.86</v>
      </c>
      <c r="N85" s="120" t="n">
        <v>235.2936</v>
      </c>
    </row>
    <row r="86" customFormat="false" ht="13.5" hidden="false" customHeight="true" outlineLevel="0" collapsed="false">
      <c r="A86" s="138" t="s">
        <v>202</v>
      </c>
      <c r="B86" s="138"/>
      <c r="C86" s="143" t="s">
        <v>203</v>
      </c>
      <c r="D86" s="143"/>
      <c r="E86" s="143"/>
      <c r="F86" s="143"/>
      <c r="G86" s="143" t="s">
        <v>263</v>
      </c>
      <c r="H86" s="143"/>
      <c r="I86" s="145"/>
      <c r="J86" s="143" t="s">
        <v>18</v>
      </c>
      <c r="K86" s="138" t="s">
        <v>264</v>
      </c>
      <c r="L86" s="138"/>
      <c r="M86" s="126" t="n">
        <v>85</v>
      </c>
      <c r="N86" s="125" t="n">
        <v>496.4</v>
      </c>
    </row>
    <row r="87" customFormat="false" ht="13.5" hidden="false" customHeight="true" outlineLevel="0" collapsed="false">
      <c r="A87" s="135" t="s">
        <v>265</v>
      </c>
      <c r="B87" s="135"/>
      <c r="C87" s="141" t="s">
        <v>203</v>
      </c>
      <c r="D87" s="141"/>
      <c r="E87" s="141"/>
      <c r="F87" s="141"/>
      <c r="G87" s="141" t="s">
        <v>263</v>
      </c>
      <c r="H87" s="141"/>
      <c r="I87" s="145"/>
      <c r="J87" s="141" t="s">
        <v>18</v>
      </c>
      <c r="K87" s="135" t="s">
        <v>264</v>
      </c>
      <c r="L87" s="135"/>
      <c r="M87" s="129" t="s">
        <v>206</v>
      </c>
      <c r="N87" s="129" t="s">
        <v>206</v>
      </c>
    </row>
    <row r="88" customFormat="false" ht="13.5" hidden="false" customHeight="true" outlineLevel="0" collapsed="false">
      <c r="A88" s="138" t="s">
        <v>207</v>
      </c>
      <c r="B88" s="138"/>
      <c r="C88" s="143" t="s">
        <v>208</v>
      </c>
      <c r="D88" s="143"/>
      <c r="E88" s="143"/>
      <c r="F88" s="143"/>
      <c r="G88" s="143" t="s">
        <v>266</v>
      </c>
      <c r="H88" s="143"/>
      <c r="I88" s="145"/>
      <c r="J88" s="143" t="s">
        <v>18</v>
      </c>
      <c r="K88" s="138" t="s">
        <v>264</v>
      </c>
      <c r="L88" s="138"/>
      <c r="M88" s="129" t="s">
        <v>206</v>
      </c>
      <c r="N88" s="129" t="s">
        <v>206</v>
      </c>
    </row>
    <row r="89" customFormat="false" ht="13.5" hidden="false" customHeight="true" outlineLevel="0" collapsed="false">
      <c r="A89" s="135" t="s">
        <v>210</v>
      </c>
      <c r="B89" s="135"/>
      <c r="C89" s="141" t="s">
        <v>208</v>
      </c>
      <c r="D89" s="141"/>
      <c r="E89" s="141"/>
      <c r="F89" s="141"/>
      <c r="G89" s="141" t="s">
        <v>266</v>
      </c>
      <c r="H89" s="141"/>
      <c r="I89" s="145"/>
      <c r="J89" s="141" t="s">
        <v>18</v>
      </c>
      <c r="K89" s="135" t="s">
        <v>264</v>
      </c>
      <c r="L89" s="135"/>
      <c r="M89" s="129" t="s">
        <v>206</v>
      </c>
      <c r="N89" s="129" t="s">
        <v>206</v>
      </c>
    </row>
    <row r="90" customFormat="false" ht="13.5" hidden="false" customHeight="true" outlineLevel="0" collapsed="false">
      <c r="A90" s="115"/>
      <c r="B90" s="115"/>
      <c r="C90" s="115"/>
      <c r="D90" s="115"/>
      <c r="E90" s="115"/>
      <c r="F90" s="115"/>
      <c r="G90" s="115"/>
      <c r="H90" s="115"/>
      <c r="K90" s="115"/>
      <c r="L90" s="115"/>
    </row>
    <row r="91" customFormat="false" ht="13.5" hidden="false" customHeight="true" outlineLevel="0" collapsed="false">
      <c r="A91" s="132" t="s">
        <v>269</v>
      </c>
      <c r="B91" s="132"/>
      <c r="C91" s="115"/>
      <c r="D91" s="115"/>
      <c r="E91" s="115"/>
      <c r="F91" s="115"/>
      <c r="G91" s="115"/>
      <c r="H91" s="115"/>
      <c r="K91" s="115"/>
      <c r="L91" s="115"/>
    </row>
    <row r="92" customFormat="false" ht="13.5" hidden="false" customHeight="true" outlineLevel="0" collapsed="false">
      <c r="A92" s="85" t="s">
        <v>270</v>
      </c>
      <c r="B92" s="85"/>
      <c r="C92" s="85" t="s">
        <v>181</v>
      </c>
      <c r="D92" s="85"/>
      <c r="E92" s="85"/>
      <c r="F92" s="85"/>
      <c r="G92" s="85" t="s">
        <v>271</v>
      </c>
      <c r="H92" s="85"/>
      <c r="I92" s="85" t="s">
        <v>272</v>
      </c>
      <c r="J92" s="85" t="s">
        <v>213</v>
      </c>
      <c r="K92" s="85" t="s">
        <v>214</v>
      </c>
      <c r="L92" s="85"/>
    </row>
    <row r="93" customFormat="false" ht="13.5" hidden="false" customHeight="true" outlineLevel="0" collapsed="false">
      <c r="A93" s="149" t="s">
        <v>273</v>
      </c>
      <c r="B93" s="149"/>
      <c r="C93" s="135" t="s">
        <v>185</v>
      </c>
      <c r="D93" s="135"/>
      <c r="E93" s="135"/>
      <c r="F93" s="135"/>
      <c r="G93" s="136" t="s">
        <v>236</v>
      </c>
      <c r="H93" s="136"/>
      <c r="I93" s="150" t="s">
        <v>274</v>
      </c>
      <c r="J93" s="141" t="s">
        <v>190</v>
      </c>
      <c r="K93" s="136" t="s">
        <v>18</v>
      </c>
      <c r="L93" s="136"/>
    </row>
    <row r="94" customFormat="false" ht="13.5" hidden="false" customHeight="true" outlineLevel="0" collapsed="false">
      <c r="A94" s="151" t="s">
        <v>273</v>
      </c>
      <c r="B94" s="151"/>
      <c r="C94" s="138" t="s">
        <v>187</v>
      </c>
      <c r="D94" s="138"/>
      <c r="E94" s="138"/>
      <c r="F94" s="138"/>
      <c r="G94" s="139" t="s">
        <v>236</v>
      </c>
      <c r="H94" s="139"/>
      <c r="I94" s="150" t="s">
        <v>274</v>
      </c>
      <c r="J94" s="143" t="s">
        <v>188</v>
      </c>
      <c r="K94" s="139" t="s">
        <v>242</v>
      </c>
      <c r="L94" s="139"/>
    </row>
    <row r="95" customFormat="false" ht="13.5" hidden="false" customHeight="true" outlineLevel="0" collapsed="false">
      <c r="A95" s="149" t="s">
        <v>275</v>
      </c>
      <c r="B95" s="149"/>
      <c r="C95" s="135" t="s">
        <v>185</v>
      </c>
      <c r="D95" s="135"/>
      <c r="E95" s="135"/>
      <c r="F95" s="135"/>
      <c r="G95" s="136" t="s">
        <v>236</v>
      </c>
      <c r="H95" s="136"/>
      <c r="I95" s="150" t="s">
        <v>274</v>
      </c>
      <c r="J95" s="141" t="s">
        <v>190</v>
      </c>
      <c r="K95" s="136" t="s">
        <v>18</v>
      </c>
      <c r="L95" s="136"/>
    </row>
    <row r="96" customFormat="false" ht="13.5" hidden="false" customHeight="true" outlineLevel="0" collapsed="false">
      <c r="A96" s="151" t="s">
        <v>275</v>
      </c>
      <c r="B96" s="151"/>
      <c r="C96" s="138" t="s">
        <v>187</v>
      </c>
      <c r="D96" s="138"/>
      <c r="E96" s="138"/>
      <c r="F96" s="138"/>
      <c r="G96" s="139" t="s">
        <v>236</v>
      </c>
      <c r="H96" s="139"/>
      <c r="I96" s="150" t="s">
        <v>274</v>
      </c>
      <c r="J96" s="143" t="s">
        <v>188</v>
      </c>
      <c r="K96" s="139" t="s">
        <v>242</v>
      </c>
      <c r="L96" s="139"/>
    </row>
    <row r="97" customFormat="false" ht="13.5" hidden="false" customHeight="true" outlineLevel="0" collapsed="false">
      <c r="A97" s="149" t="s">
        <v>276</v>
      </c>
      <c r="B97" s="149"/>
      <c r="C97" s="135" t="s">
        <v>185</v>
      </c>
      <c r="D97" s="135"/>
      <c r="E97" s="135"/>
      <c r="F97" s="135"/>
      <c r="G97" s="136" t="s">
        <v>236</v>
      </c>
      <c r="H97" s="136"/>
      <c r="I97" s="150" t="s">
        <v>274</v>
      </c>
      <c r="J97" s="141" t="s">
        <v>190</v>
      </c>
      <c r="K97" s="136" t="s">
        <v>18</v>
      </c>
      <c r="L97" s="136"/>
    </row>
    <row r="98" customFormat="false" ht="13.5" hidden="false" customHeight="true" outlineLevel="0" collapsed="false">
      <c r="A98" s="151" t="s">
        <v>276</v>
      </c>
      <c r="B98" s="151"/>
      <c r="C98" s="138" t="s">
        <v>187</v>
      </c>
      <c r="D98" s="138"/>
      <c r="E98" s="138"/>
      <c r="F98" s="138"/>
      <c r="G98" s="139" t="s">
        <v>236</v>
      </c>
      <c r="H98" s="139"/>
      <c r="I98" s="150" t="s">
        <v>274</v>
      </c>
      <c r="J98" s="143" t="s">
        <v>188</v>
      </c>
      <c r="K98" s="139" t="s">
        <v>242</v>
      </c>
      <c r="L98" s="139"/>
    </row>
    <row r="99" customFormat="false" ht="13.5" hidden="false" customHeight="true" outlineLevel="0" collapsed="false">
      <c r="A99" s="149" t="s">
        <v>273</v>
      </c>
      <c r="B99" s="149"/>
      <c r="C99" s="135" t="s">
        <v>189</v>
      </c>
      <c r="D99" s="135"/>
      <c r="E99" s="135"/>
      <c r="F99" s="135"/>
      <c r="G99" s="136" t="s">
        <v>237</v>
      </c>
      <c r="H99" s="136"/>
      <c r="I99" s="137" t="s">
        <v>277</v>
      </c>
      <c r="J99" s="141" t="s">
        <v>190</v>
      </c>
      <c r="K99" s="136" t="s">
        <v>244</v>
      </c>
      <c r="L99" s="136"/>
    </row>
    <row r="100" customFormat="false" ht="13.5" hidden="false" customHeight="true" outlineLevel="0" collapsed="false">
      <c r="A100" s="151" t="s">
        <v>273</v>
      </c>
      <c r="B100" s="151"/>
      <c r="C100" s="138" t="s">
        <v>196</v>
      </c>
      <c r="D100" s="138"/>
      <c r="E100" s="138"/>
      <c r="F100" s="138"/>
      <c r="G100" s="139" t="s">
        <v>237</v>
      </c>
      <c r="H100" s="139"/>
      <c r="I100" s="137" t="s">
        <v>277</v>
      </c>
      <c r="J100" s="143" t="s">
        <v>190</v>
      </c>
      <c r="K100" s="139" t="s">
        <v>18</v>
      </c>
      <c r="L100" s="139"/>
    </row>
    <row r="101" customFormat="false" ht="13.5" hidden="false" customHeight="true" outlineLevel="0" collapsed="false">
      <c r="A101" s="149" t="s">
        <v>273</v>
      </c>
      <c r="B101" s="149"/>
      <c r="C101" s="135" t="s">
        <v>255</v>
      </c>
      <c r="D101" s="135"/>
      <c r="E101" s="135"/>
      <c r="F101" s="135"/>
      <c r="G101" s="136" t="s">
        <v>237</v>
      </c>
      <c r="H101" s="136"/>
      <c r="I101" s="137" t="s">
        <v>277</v>
      </c>
      <c r="J101" s="141" t="s">
        <v>190</v>
      </c>
      <c r="K101" s="136" t="s">
        <v>256</v>
      </c>
      <c r="L101" s="136"/>
    </row>
    <row r="102" customFormat="false" ht="13.5" hidden="false" customHeight="true" outlineLevel="0" collapsed="false">
      <c r="A102" s="151" t="s">
        <v>275</v>
      </c>
      <c r="B102" s="151"/>
      <c r="C102" s="138" t="s">
        <v>189</v>
      </c>
      <c r="D102" s="138"/>
      <c r="E102" s="138"/>
      <c r="F102" s="138"/>
      <c r="G102" s="139" t="s">
        <v>237</v>
      </c>
      <c r="H102" s="139"/>
      <c r="I102" s="137" t="s">
        <v>277</v>
      </c>
      <c r="J102" s="143" t="s">
        <v>190</v>
      </c>
      <c r="K102" s="139" t="s">
        <v>244</v>
      </c>
      <c r="L102" s="139"/>
    </row>
    <row r="103" customFormat="false" ht="13.5" hidden="false" customHeight="true" outlineLevel="0" collapsed="false">
      <c r="A103" s="149" t="s">
        <v>275</v>
      </c>
      <c r="B103" s="149"/>
      <c r="C103" s="135" t="s">
        <v>196</v>
      </c>
      <c r="D103" s="135"/>
      <c r="E103" s="135"/>
      <c r="F103" s="135"/>
      <c r="G103" s="136" t="s">
        <v>237</v>
      </c>
      <c r="H103" s="136"/>
      <c r="I103" s="137" t="s">
        <v>277</v>
      </c>
      <c r="J103" s="141" t="s">
        <v>190</v>
      </c>
      <c r="K103" s="136" t="s">
        <v>18</v>
      </c>
      <c r="L103" s="136"/>
    </row>
    <row r="104" customFormat="false" ht="13.5" hidden="false" customHeight="true" outlineLevel="0" collapsed="false">
      <c r="A104" s="151" t="s">
        <v>275</v>
      </c>
      <c r="B104" s="151"/>
      <c r="C104" s="138" t="s">
        <v>255</v>
      </c>
      <c r="D104" s="138"/>
      <c r="E104" s="138"/>
      <c r="F104" s="138"/>
      <c r="G104" s="139" t="s">
        <v>237</v>
      </c>
      <c r="H104" s="139"/>
      <c r="I104" s="137" t="s">
        <v>277</v>
      </c>
      <c r="J104" s="143" t="s">
        <v>190</v>
      </c>
      <c r="K104" s="139" t="s">
        <v>256</v>
      </c>
      <c r="L104" s="139"/>
    </row>
    <row r="105" customFormat="false" ht="13.5" hidden="false" customHeight="true" outlineLevel="0" collapsed="false">
      <c r="A105" s="149" t="s">
        <v>276</v>
      </c>
      <c r="B105" s="149"/>
      <c r="C105" s="135" t="s">
        <v>189</v>
      </c>
      <c r="D105" s="135"/>
      <c r="E105" s="135"/>
      <c r="F105" s="135"/>
      <c r="G105" s="136" t="s">
        <v>237</v>
      </c>
      <c r="H105" s="136"/>
      <c r="I105" s="137" t="s">
        <v>277</v>
      </c>
      <c r="J105" s="141" t="s">
        <v>190</v>
      </c>
      <c r="K105" s="136" t="s">
        <v>244</v>
      </c>
      <c r="L105" s="136"/>
    </row>
    <row r="106" customFormat="false" ht="13.5" hidden="false" customHeight="true" outlineLevel="0" collapsed="false">
      <c r="A106" s="151" t="s">
        <v>276</v>
      </c>
      <c r="B106" s="151"/>
      <c r="C106" s="138" t="s">
        <v>196</v>
      </c>
      <c r="D106" s="138"/>
      <c r="E106" s="138"/>
      <c r="F106" s="138"/>
      <c r="G106" s="139" t="s">
        <v>237</v>
      </c>
      <c r="H106" s="139"/>
      <c r="I106" s="137" t="s">
        <v>277</v>
      </c>
      <c r="J106" s="143" t="s">
        <v>190</v>
      </c>
      <c r="K106" s="139" t="s">
        <v>18</v>
      </c>
      <c r="L106" s="139"/>
    </row>
    <row r="107" customFormat="false" ht="13.5" hidden="false" customHeight="true" outlineLevel="0" collapsed="false">
      <c r="A107" s="149" t="s">
        <v>276</v>
      </c>
      <c r="B107" s="149"/>
      <c r="C107" s="135" t="s">
        <v>255</v>
      </c>
      <c r="D107" s="135"/>
      <c r="E107" s="135"/>
      <c r="F107" s="135"/>
      <c r="G107" s="136" t="s">
        <v>237</v>
      </c>
      <c r="H107" s="136"/>
      <c r="I107" s="137" t="s">
        <v>277</v>
      </c>
      <c r="J107" s="141" t="s">
        <v>190</v>
      </c>
      <c r="K107" s="136" t="s">
        <v>256</v>
      </c>
      <c r="L107" s="136"/>
    </row>
    <row r="108" customFormat="false" ht="13.5" hidden="false" customHeight="true" outlineLevel="0" collapsed="false">
      <c r="A108" s="151" t="s">
        <v>273</v>
      </c>
      <c r="B108" s="151"/>
      <c r="C108" s="138" t="s">
        <v>191</v>
      </c>
      <c r="D108" s="138"/>
      <c r="E108" s="138"/>
      <c r="F108" s="138"/>
      <c r="G108" s="139" t="s">
        <v>241</v>
      </c>
      <c r="H108" s="139"/>
      <c r="I108" s="137" t="s">
        <v>278</v>
      </c>
      <c r="J108" s="143" t="s">
        <v>188</v>
      </c>
      <c r="K108" s="139" t="s">
        <v>244</v>
      </c>
      <c r="L108" s="139"/>
    </row>
    <row r="109" customFormat="false" ht="13.5" hidden="false" customHeight="true" outlineLevel="0" collapsed="false">
      <c r="A109" s="149" t="s">
        <v>273</v>
      </c>
      <c r="B109" s="149"/>
      <c r="C109" s="135" t="s">
        <v>193</v>
      </c>
      <c r="D109" s="135"/>
      <c r="E109" s="135"/>
      <c r="F109" s="135"/>
      <c r="G109" s="136" t="s">
        <v>241</v>
      </c>
      <c r="H109" s="136"/>
      <c r="I109" s="137" t="s">
        <v>278</v>
      </c>
      <c r="J109" s="141" t="s">
        <v>188</v>
      </c>
      <c r="K109" s="136" t="s">
        <v>248</v>
      </c>
      <c r="L109" s="136"/>
    </row>
    <row r="110" customFormat="false" ht="21.75" hidden="false" customHeight="true" outlineLevel="0" collapsed="false">
      <c r="A110" s="151" t="s">
        <v>273</v>
      </c>
      <c r="B110" s="134"/>
      <c r="C110" s="138" t="s">
        <v>194</v>
      </c>
      <c r="D110" s="134"/>
      <c r="E110" s="134"/>
      <c r="F110" s="134"/>
      <c r="G110" s="139" t="s">
        <v>241</v>
      </c>
      <c r="H110" s="134"/>
      <c r="I110" s="137" t="s">
        <v>278</v>
      </c>
      <c r="J110" s="143" t="s">
        <v>188</v>
      </c>
      <c r="K110" s="139" t="s">
        <v>250</v>
      </c>
      <c r="L110" s="134"/>
    </row>
    <row r="111" customFormat="false" ht="7.5" hidden="false" customHeight="true" outlineLevel="0" collapsed="false">
      <c r="A111" s="149" t="s">
        <v>273</v>
      </c>
      <c r="B111" s="134"/>
      <c r="C111" s="135" t="s">
        <v>251</v>
      </c>
      <c r="D111" s="134"/>
      <c r="E111" s="134"/>
      <c r="F111" s="134"/>
      <c r="G111" s="136" t="s">
        <v>241</v>
      </c>
      <c r="H111" s="134"/>
      <c r="I111" s="137" t="s">
        <v>278</v>
      </c>
      <c r="J111" s="141" t="s">
        <v>188</v>
      </c>
      <c r="K111" s="136" t="s">
        <v>252</v>
      </c>
      <c r="L111" s="134"/>
    </row>
    <row r="112" customFormat="false" ht="9.75" hidden="false" customHeight="true" outlineLevel="0" collapsed="false">
      <c r="A112" s="151" t="s">
        <v>273</v>
      </c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</row>
    <row r="113" customFormat="false" ht="9.75" hidden="false" customHeight="true" outlineLevel="0" collapsed="false">
      <c r="A113" s="149" t="s">
        <v>275</v>
      </c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34"/>
    </row>
    <row r="114" customFormat="false" ht="15.75" hidden="false" customHeight="true" outlineLevel="0" collapsed="false">
      <c r="A114" s="151" t="s">
        <v>275</v>
      </c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34"/>
    </row>
    <row r="115" customFormat="false" ht="15.75" hidden="false" customHeight="true" outlineLevel="0" collapsed="false">
      <c r="A115" s="149" t="s">
        <v>275</v>
      </c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</row>
    <row r="116" customFormat="false" ht="6" hidden="false" customHeight="true" outlineLevel="0" collapsed="false">
      <c r="A116" s="151" t="s">
        <v>275</v>
      </c>
      <c r="B116" s="151"/>
      <c r="C116" s="138" t="s">
        <v>251</v>
      </c>
      <c r="D116" s="138"/>
      <c r="E116" s="134"/>
      <c r="F116" s="134"/>
      <c r="G116" s="134"/>
      <c r="H116" s="134"/>
      <c r="I116" s="137" t="s">
        <v>278</v>
      </c>
      <c r="J116" s="143" t="s">
        <v>188</v>
      </c>
      <c r="K116" s="139" t="s">
        <v>252</v>
      </c>
      <c r="L116" s="134"/>
    </row>
    <row r="117" customFormat="false" ht="27.75" hidden="false" customHeight="true" outlineLevel="0" collapsed="false">
      <c r="A117" s="149" t="s">
        <v>275</v>
      </c>
      <c r="B117" s="149"/>
      <c r="C117" s="135" t="s">
        <v>198</v>
      </c>
      <c r="D117" s="135"/>
      <c r="E117" s="134"/>
      <c r="F117" s="134"/>
      <c r="G117" s="136" t="s">
        <v>241</v>
      </c>
      <c r="H117" s="136"/>
      <c r="I117" s="137" t="s">
        <v>278</v>
      </c>
      <c r="J117" s="137"/>
      <c r="K117" s="136" t="s">
        <v>18</v>
      </c>
      <c r="L117" s="134"/>
      <c r="M117" s="115"/>
      <c r="N117" s="115"/>
    </row>
    <row r="118" customFormat="false" ht="15" hidden="false" customHeight="true" outlineLevel="0" collapsed="false">
      <c r="A118" s="151" t="s">
        <v>276</v>
      </c>
      <c r="B118" s="151"/>
      <c r="C118" s="151"/>
      <c r="D118" s="134"/>
      <c r="E118" s="134"/>
      <c r="F118" s="134"/>
      <c r="G118" s="134"/>
      <c r="H118" s="134"/>
      <c r="I118" s="137" t="s">
        <v>278</v>
      </c>
      <c r="J118" s="137"/>
      <c r="K118" s="139" t="s">
        <v>244</v>
      </c>
      <c r="L118" s="134"/>
      <c r="M118" s="115"/>
      <c r="N118" s="115"/>
    </row>
    <row r="119" customFormat="false" ht="15" hidden="false" customHeight="true" outlineLevel="0" collapsed="false">
      <c r="A119" s="149" t="s">
        <v>276</v>
      </c>
      <c r="B119" s="149"/>
      <c r="C119" s="135" t="s">
        <v>193</v>
      </c>
      <c r="D119" s="135"/>
      <c r="E119" s="134"/>
      <c r="F119" s="134"/>
      <c r="G119" s="134"/>
      <c r="H119" s="134"/>
      <c r="I119" s="137" t="s">
        <v>278</v>
      </c>
      <c r="J119" s="137"/>
      <c r="K119" s="136" t="s">
        <v>248</v>
      </c>
      <c r="L119" s="134"/>
      <c r="M119" s="115"/>
      <c r="N119" s="115"/>
    </row>
    <row r="120" customFormat="false" ht="15" hidden="false" customHeight="true" outlineLevel="0" collapsed="false">
      <c r="A120" s="151" t="s">
        <v>276</v>
      </c>
      <c r="B120" s="151"/>
      <c r="C120" s="151"/>
      <c r="D120" s="134"/>
      <c r="E120" s="134"/>
      <c r="F120" s="134"/>
      <c r="G120" s="139" t="s">
        <v>241</v>
      </c>
      <c r="H120" s="139"/>
      <c r="I120" s="137" t="s">
        <v>278</v>
      </c>
      <c r="J120" s="137"/>
      <c r="K120" s="139" t="s">
        <v>250</v>
      </c>
      <c r="L120" s="134"/>
      <c r="M120" s="115"/>
      <c r="N120" s="115"/>
    </row>
    <row r="121" customFormat="false" ht="15" hidden="false" customHeight="true" outlineLevel="0" collapsed="false">
      <c r="A121" s="149" t="s">
        <v>276</v>
      </c>
      <c r="B121" s="149"/>
      <c r="C121" s="135" t="s">
        <v>251</v>
      </c>
      <c r="D121" s="135"/>
      <c r="E121" s="134"/>
      <c r="F121" s="134"/>
      <c r="G121" s="134"/>
      <c r="H121" s="134"/>
      <c r="I121" s="137" t="s">
        <v>278</v>
      </c>
      <c r="J121" s="137"/>
      <c r="K121" s="136" t="s">
        <v>252</v>
      </c>
      <c r="L121" s="134"/>
      <c r="M121" s="115"/>
      <c r="N121" s="115"/>
    </row>
    <row r="122" customFormat="false" ht="15" hidden="false" customHeight="true" outlineLevel="0" collapsed="false">
      <c r="A122" s="151" t="s">
        <v>276</v>
      </c>
      <c r="B122" s="151"/>
      <c r="C122" s="151"/>
      <c r="D122" s="134"/>
      <c r="E122" s="134"/>
      <c r="F122" s="134"/>
      <c r="G122" s="134"/>
      <c r="H122" s="134"/>
      <c r="I122" s="137" t="s">
        <v>278</v>
      </c>
      <c r="J122" s="137"/>
      <c r="K122" s="139" t="s">
        <v>18</v>
      </c>
      <c r="L122" s="134"/>
      <c r="M122" s="115"/>
      <c r="N122" s="115"/>
    </row>
    <row r="123" customFormat="false" ht="15" hidden="false" customHeight="true" outlineLevel="0" collapsed="false">
      <c r="A123" s="149" t="s">
        <v>273</v>
      </c>
      <c r="B123" s="149"/>
      <c r="C123" s="135" t="s">
        <v>259</v>
      </c>
      <c r="D123" s="135"/>
      <c r="E123" s="134"/>
      <c r="F123" s="134"/>
      <c r="G123" s="134"/>
      <c r="H123" s="134"/>
      <c r="I123" s="137" t="s">
        <v>279</v>
      </c>
      <c r="J123" s="137"/>
      <c r="K123" s="136" t="s">
        <v>18</v>
      </c>
      <c r="L123" s="134"/>
      <c r="M123" s="115"/>
      <c r="N123" s="115"/>
    </row>
    <row r="124" customFormat="false" ht="15" hidden="false" customHeight="true" outlineLevel="0" collapsed="false">
      <c r="A124" s="151" t="s">
        <v>275</v>
      </c>
      <c r="B124" s="151"/>
      <c r="C124" s="151"/>
      <c r="D124" s="134"/>
      <c r="E124" s="134"/>
      <c r="F124" s="134"/>
      <c r="G124" s="134"/>
      <c r="H124" s="134"/>
      <c r="I124" s="137" t="s">
        <v>279</v>
      </c>
      <c r="J124" s="137"/>
      <c r="K124" s="139" t="s">
        <v>18</v>
      </c>
      <c r="L124" s="134"/>
      <c r="M124" s="115"/>
      <c r="N124" s="115"/>
    </row>
    <row r="125" customFormat="false" ht="15" hidden="false" customHeight="true" outlineLevel="0" collapsed="false">
      <c r="A125" s="149" t="s">
        <v>276</v>
      </c>
      <c r="B125" s="149"/>
      <c r="C125" s="135" t="s">
        <v>259</v>
      </c>
      <c r="D125" s="135"/>
      <c r="E125" s="134"/>
      <c r="F125" s="134"/>
      <c r="G125" s="136" t="s">
        <v>260</v>
      </c>
      <c r="H125" s="136"/>
      <c r="I125" s="137" t="s">
        <v>279</v>
      </c>
      <c r="J125" s="137"/>
      <c r="K125" s="136" t="s">
        <v>18</v>
      </c>
      <c r="L125" s="134"/>
      <c r="M125" s="115"/>
      <c r="N125" s="115"/>
    </row>
    <row r="126" customFormat="false" ht="15" hidden="false" customHeight="true" outlineLevel="0" collapsed="false">
      <c r="A126" s="151" t="s">
        <v>273</v>
      </c>
      <c r="B126" s="151"/>
      <c r="C126" s="151"/>
      <c r="D126" s="151"/>
      <c r="E126" s="151"/>
      <c r="F126" s="151"/>
      <c r="G126" s="151"/>
      <c r="H126" s="134"/>
      <c r="I126" s="137" t="s">
        <v>280</v>
      </c>
      <c r="J126" s="137"/>
      <c r="K126" s="139" t="s">
        <v>18</v>
      </c>
      <c r="L126" s="134"/>
      <c r="M126" s="115"/>
      <c r="N126" s="115"/>
    </row>
    <row r="127" customFormat="false" ht="15" hidden="false" customHeight="true" outlineLevel="0" collapsed="false">
      <c r="A127" s="149" t="s">
        <v>273</v>
      </c>
      <c r="B127" s="149"/>
      <c r="C127" s="135" t="s">
        <v>265</v>
      </c>
      <c r="D127" s="135"/>
      <c r="E127" s="134"/>
      <c r="F127" s="134"/>
      <c r="G127" s="136" t="s">
        <v>263</v>
      </c>
      <c r="H127" s="136"/>
      <c r="I127" s="137" t="s">
        <v>280</v>
      </c>
      <c r="J127" s="137"/>
      <c r="K127" s="136" t="s">
        <v>18</v>
      </c>
      <c r="L127" s="134"/>
      <c r="M127" s="115"/>
      <c r="N127" s="115"/>
    </row>
    <row r="128" customFormat="false" ht="15" hidden="false" customHeight="true" outlineLevel="0" collapsed="false">
      <c r="A128" s="151" t="s">
        <v>275</v>
      </c>
      <c r="B128" s="151"/>
      <c r="C128" s="151"/>
      <c r="D128" s="134"/>
      <c r="E128" s="134"/>
      <c r="F128" s="134"/>
      <c r="G128" s="139" t="s">
        <v>263</v>
      </c>
      <c r="H128" s="139"/>
      <c r="I128" s="137" t="s">
        <v>280</v>
      </c>
      <c r="J128" s="137"/>
      <c r="K128" s="139" t="s">
        <v>18</v>
      </c>
      <c r="L128" s="134"/>
      <c r="M128" s="115"/>
      <c r="N128" s="115"/>
    </row>
    <row r="129" customFormat="false" ht="15" hidden="false" customHeight="true" outlineLevel="0" collapsed="false">
      <c r="A129" s="149" t="s">
        <v>275</v>
      </c>
      <c r="B129" s="149"/>
      <c r="C129" s="149"/>
      <c r="D129" s="134"/>
      <c r="E129" s="134"/>
      <c r="F129" s="134"/>
      <c r="G129" s="136" t="s">
        <v>263</v>
      </c>
      <c r="H129" s="136"/>
      <c r="I129" s="137" t="s">
        <v>280</v>
      </c>
      <c r="J129" s="137"/>
      <c r="K129" s="136" t="s">
        <v>18</v>
      </c>
      <c r="L129" s="134"/>
      <c r="M129" s="115"/>
      <c r="N129" s="115"/>
    </row>
    <row r="130" customFormat="false" ht="15" hidden="false" customHeight="true" outlineLevel="0" collapsed="false">
      <c r="A130" s="151" t="s">
        <v>276</v>
      </c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34"/>
      <c r="M130" s="115"/>
      <c r="N130" s="115"/>
    </row>
    <row r="131" customFormat="false" ht="15" hidden="false" customHeight="true" outlineLevel="0" collapsed="false">
      <c r="A131" s="149" t="s">
        <v>276</v>
      </c>
      <c r="B131" s="149"/>
      <c r="C131" s="135" t="s">
        <v>265</v>
      </c>
      <c r="D131" s="135"/>
      <c r="E131" s="134"/>
      <c r="F131" s="134"/>
      <c r="G131" s="134"/>
      <c r="H131" s="134"/>
      <c r="I131" s="134"/>
      <c r="J131" s="134"/>
      <c r="K131" s="134"/>
      <c r="L131" s="134"/>
      <c r="M131" s="115"/>
      <c r="N131" s="115"/>
    </row>
    <row r="132" customFormat="false" ht="15" hidden="false" customHeight="true" outlineLevel="0" collapsed="false">
      <c r="A132" s="115"/>
      <c r="B132" s="115"/>
      <c r="C132" s="115"/>
      <c r="G132" s="115"/>
      <c r="H132" s="115"/>
      <c r="M132" s="115"/>
      <c r="N132" s="115"/>
    </row>
    <row r="133" customFormat="false" ht="18" hidden="false" customHeight="true" outlineLevel="0" collapsed="false">
      <c r="A133" s="115"/>
      <c r="B133" s="115"/>
      <c r="C133" s="115"/>
      <c r="D133" s="115"/>
      <c r="E133" s="115"/>
      <c r="F133" s="115"/>
      <c r="H133" s="115"/>
      <c r="I133" s="115"/>
      <c r="J133" s="115"/>
      <c r="K133" s="115"/>
      <c r="L133" s="115"/>
      <c r="M133" s="115"/>
      <c r="N133" s="115"/>
    </row>
    <row r="134" customFormat="false" ht="7.5" hidden="false" customHeight="true" outlineLevel="0" collapsed="false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</row>
    <row r="135" customFormat="false" ht="9.75" hidden="false" customHeight="true" outlineLevel="0" collapsed="false"/>
    <row r="136" customFormat="false" ht="157.5" hidden="false" customHeight="true" outlineLevel="0" collapsed="false">
      <c r="A136" s="116" t="s">
        <v>281</v>
      </c>
      <c r="B136" s="134"/>
      <c r="C136" s="134"/>
      <c r="D136" s="134"/>
      <c r="E136" s="134"/>
      <c r="F136" s="134"/>
      <c r="G136" s="134"/>
      <c r="H136" s="134"/>
      <c r="I136" s="134"/>
      <c r="J136" s="134"/>
      <c r="K136" s="133"/>
      <c r="L136" s="114"/>
      <c r="M136" s="114"/>
      <c r="N136" s="114"/>
    </row>
    <row r="137" customFormat="false" ht="116.25" hidden="false" customHeight="true" outlineLevel="0" collapsed="false">
      <c r="A137" s="109" t="s">
        <v>282</v>
      </c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3"/>
    </row>
    <row r="138" customFormat="false" ht="234" hidden="false" customHeight="true" outlineLevel="0" collapsed="false"/>
    <row r="139" customFormat="false" ht="32.25" hidden="false" customHeight="true" outlineLevel="0" collapsed="false">
      <c r="A139" s="85" t="s">
        <v>181</v>
      </c>
      <c r="B139" s="133"/>
      <c r="C139" s="114"/>
      <c r="D139" s="133"/>
      <c r="E139" s="85" t="s">
        <v>283</v>
      </c>
      <c r="F139" s="85" t="s">
        <v>284</v>
      </c>
      <c r="G139" s="85" t="s">
        <v>285</v>
      </c>
      <c r="H139" s="133"/>
      <c r="I139" s="85" t="s">
        <v>286</v>
      </c>
      <c r="J139" s="133"/>
      <c r="K139" s="85" t="s">
        <v>287</v>
      </c>
      <c r="L139" s="85" t="s">
        <v>288</v>
      </c>
      <c r="M139" s="85" t="s">
        <v>134</v>
      </c>
      <c r="N139" s="133"/>
    </row>
    <row r="140" customFormat="false" ht="42.75" hidden="false" customHeight="true" outlineLevel="0" collapsed="false">
      <c r="A140" s="117" t="s">
        <v>185</v>
      </c>
      <c r="B140" s="134"/>
      <c r="C140" s="133"/>
      <c r="D140" s="119" t="s">
        <v>190</v>
      </c>
      <c r="E140" s="118" t="n">
        <v>38.14</v>
      </c>
      <c r="F140" s="119" t="s">
        <v>289</v>
      </c>
      <c r="G140" s="133"/>
      <c r="H140" s="114"/>
      <c r="I140" s="120" t="n">
        <v>4009.2768</v>
      </c>
      <c r="J140" s="133"/>
      <c r="K140" s="120" t="n">
        <v>334.1064</v>
      </c>
      <c r="L140" s="137" t="s">
        <v>290</v>
      </c>
      <c r="M140" s="152" t="s">
        <v>291</v>
      </c>
      <c r="N140" s="133"/>
    </row>
    <row r="141" customFormat="false" ht="74.25" hidden="false" customHeight="true" outlineLevel="0" collapsed="false">
      <c r="A141" s="121" t="s">
        <v>187</v>
      </c>
      <c r="B141" s="133"/>
      <c r="C141" s="114"/>
      <c r="D141" s="133"/>
      <c r="E141" s="118" t="n">
        <v>9.09</v>
      </c>
      <c r="F141" s="122" t="s">
        <v>292</v>
      </c>
      <c r="G141" s="133"/>
      <c r="H141" s="114"/>
      <c r="I141" s="120" t="n">
        <v>477.7704</v>
      </c>
      <c r="J141" s="133"/>
      <c r="K141" s="120" t="n">
        <v>39.8142</v>
      </c>
      <c r="L141" s="137" t="s">
        <v>290</v>
      </c>
      <c r="M141" s="153" t="s">
        <v>293</v>
      </c>
      <c r="N141" s="133"/>
    </row>
    <row r="142" customFormat="false" ht="147.75" hidden="false" customHeight="true" outlineLevel="0" collapsed="false">
      <c r="A142" s="123" t="s">
        <v>189</v>
      </c>
      <c r="B142" s="134"/>
      <c r="C142" s="133"/>
      <c r="D142" s="119" t="s">
        <v>190</v>
      </c>
      <c r="E142" s="124" t="s">
        <v>18</v>
      </c>
      <c r="F142" s="119" t="s">
        <v>289</v>
      </c>
      <c r="G142" s="124" t="s">
        <v>18</v>
      </c>
      <c r="H142" s="133"/>
      <c r="I142" s="124" t="s">
        <v>18</v>
      </c>
      <c r="J142" s="133"/>
      <c r="K142" s="124" t="s">
        <v>18</v>
      </c>
      <c r="L142" s="124" t="s">
        <v>294</v>
      </c>
      <c r="M142" s="152" t="s">
        <v>295</v>
      </c>
      <c r="N142" s="133"/>
    </row>
    <row r="143" customFormat="false" ht="15" hidden="false" customHeight="true" outlineLevel="0" collapsed="false">
      <c r="A143" s="121" t="s">
        <v>191</v>
      </c>
      <c r="B143" s="133"/>
      <c r="C143" s="114"/>
      <c r="D143" s="133"/>
      <c r="E143" s="118" t="n">
        <v>55.12</v>
      </c>
      <c r="F143" s="122" t="s">
        <v>292</v>
      </c>
      <c r="G143" s="133"/>
      <c r="H143" s="114"/>
      <c r="I143" s="120" t="n">
        <v>2897.1072</v>
      </c>
      <c r="J143" s="133"/>
      <c r="K143" s="120" t="n">
        <v>241.4256</v>
      </c>
      <c r="L143" s="137" t="s">
        <v>290</v>
      </c>
      <c r="M143" s="153" t="s">
        <v>296</v>
      </c>
      <c r="N143" s="133"/>
    </row>
    <row r="144" customFormat="false" ht="15" hidden="false" customHeight="true" outlineLevel="0" collapsed="false">
      <c r="A144" s="117" t="s">
        <v>193</v>
      </c>
      <c r="B144" s="134"/>
      <c r="C144" s="133"/>
      <c r="D144" s="119" t="s">
        <v>188</v>
      </c>
      <c r="E144" s="126" t="n">
        <v>45</v>
      </c>
      <c r="F144" s="119" t="s">
        <v>292</v>
      </c>
      <c r="G144" s="133"/>
      <c r="H144" s="114"/>
      <c r="I144" s="125" t="n">
        <v>2365.2</v>
      </c>
      <c r="J144" s="133"/>
      <c r="K144" s="125" t="n">
        <v>197.1</v>
      </c>
      <c r="L144" s="129" t="s">
        <v>297</v>
      </c>
      <c r="M144" s="152" t="s">
        <v>298</v>
      </c>
      <c r="N144" s="133"/>
    </row>
    <row r="145" customFormat="false" ht="21.75" hidden="false" customHeight="true" outlineLevel="0" collapsed="false">
      <c r="A145" s="121" t="s">
        <v>194</v>
      </c>
      <c r="B145" s="133"/>
      <c r="C145" s="114"/>
      <c r="D145" s="133"/>
      <c r="E145" s="126" t="n">
        <v>35</v>
      </c>
      <c r="F145" s="122" t="s">
        <v>292</v>
      </c>
      <c r="G145" s="133"/>
      <c r="H145" s="114"/>
      <c r="I145" s="125" t="n">
        <v>1839.6</v>
      </c>
      <c r="J145" s="133"/>
      <c r="K145" s="125" t="n">
        <v>153.3</v>
      </c>
      <c r="L145" s="129" t="s">
        <v>297</v>
      </c>
      <c r="M145" s="153" t="s">
        <v>299</v>
      </c>
      <c r="N145" s="133"/>
    </row>
    <row r="146" customFormat="false" ht="18.75" hidden="false" customHeight="true" outlineLevel="0" collapsed="false">
      <c r="A146" s="117" t="s">
        <v>195</v>
      </c>
      <c r="B146" s="134"/>
      <c r="C146" s="133"/>
      <c r="D146" s="119" t="s">
        <v>188</v>
      </c>
      <c r="E146" s="126" t="n">
        <v>8</v>
      </c>
      <c r="F146" s="119" t="s">
        <v>292</v>
      </c>
      <c r="G146" s="133"/>
      <c r="H146" s="114"/>
      <c r="I146" s="125" t="n">
        <v>420.48</v>
      </c>
      <c r="J146" s="133"/>
      <c r="K146" s="125" t="n">
        <v>35.04</v>
      </c>
      <c r="L146" s="129" t="s">
        <v>297</v>
      </c>
      <c r="M146" s="152" t="s">
        <v>300</v>
      </c>
      <c r="N146" s="133"/>
    </row>
    <row r="147" customFormat="false" ht="18.75" hidden="false" customHeight="true" outlineLevel="0" collapsed="false">
      <c r="A147" s="127" t="s">
        <v>196</v>
      </c>
      <c r="B147" s="133"/>
      <c r="C147" s="114"/>
      <c r="D147" s="133"/>
      <c r="E147" s="128" t="s">
        <v>18</v>
      </c>
      <c r="F147" s="122" t="s">
        <v>289</v>
      </c>
      <c r="G147" s="128" t="s">
        <v>18</v>
      </c>
      <c r="H147" s="133"/>
      <c r="I147" s="128" t="s">
        <v>18</v>
      </c>
      <c r="J147" s="133"/>
      <c r="K147" s="128" t="s">
        <v>18</v>
      </c>
      <c r="L147" s="128" t="s">
        <v>294</v>
      </c>
      <c r="M147" s="153" t="s">
        <v>301</v>
      </c>
      <c r="N147" s="133"/>
    </row>
    <row r="148" customFormat="false" ht="15" hidden="false" customHeight="true" outlineLevel="0" collapsed="false">
      <c r="A148" s="117" t="s">
        <v>197</v>
      </c>
      <c r="B148" s="134"/>
      <c r="C148" s="134"/>
      <c r="D148" s="134"/>
      <c r="E148" s="134"/>
      <c r="F148" s="134"/>
      <c r="G148" s="133"/>
      <c r="H148" s="114"/>
      <c r="I148" s="125" t="n">
        <v>210.24</v>
      </c>
      <c r="J148" s="133"/>
      <c r="K148" s="125" t="n">
        <v>17.52</v>
      </c>
      <c r="L148" s="129" t="s">
        <v>297</v>
      </c>
      <c r="M148" s="152" t="s">
        <v>302</v>
      </c>
      <c r="N148" s="133"/>
    </row>
    <row r="149" customFormat="false" ht="15" hidden="false" customHeight="true" outlineLevel="0" collapsed="false">
      <c r="A149" s="127" t="s">
        <v>198</v>
      </c>
      <c r="B149" s="133"/>
      <c r="C149" s="114"/>
      <c r="D149" s="133"/>
      <c r="E149" s="128" t="s">
        <v>18</v>
      </c>
      <c r="F149" s="122" t="s">
        <v>292</v>
      </c>
      <c r="G149" s="128" t="s">
        <v>18</v>
      </c>
      <c r="H149" s="133"/>
      <c r="I149" s="128" t="s">
        <v>18</v>
      </c>
      <c r="J149" s="133"/>
      <c r="K149" s="128" t="s">
        <v>18</v>
      </c>
      <c r="L149" s="128" t="s">
        <v>294</v>
      </c>
      <c r="M149" s="153" t="s">
        <v>303</v>
      </c>
      <c r="N149" s="133"/>
    </row>
    <row r="150" customFormat="false" ht="18.75" hidden="false" customHeight="true" outlineLevel="0" collapsed="false">
      <c r="A150" s="117" t="s">
        <v>199</v>
      </c>
      <c r="B150" s="134"/>
      <c r="C150" s="133"/>
      <c r="D150" s="119" t="s">
        <v>200</v>
      </c>
      <c r="E150" s="118" t="n">
        <v>26.86</v>
      </c>
      <c r="F150" s="119" t="s">
        <v>304</v>
      </c>
      <c r="G150" s="120" t="n">
        <v>235.2936</v>
      </c>
      <c r="H150" s="133"/>
      <c r="I150" s="120" t="n">
        <v>705.8808</v>
      </c>
      <c r="J150" s="133"/>
      <c r="K150" s="120" t="n">
        <v>58.8234</v>
      </c>
      <c r="L150" s="137" t="s">
        <v>290</v>
      </c>
      <c r="M150" s="152" t="s">
        <v>305</v>
      </c>
      <c r="N150" s="133"/>
    </row>
    <row r="151" customFormat="false" ht="15" hidden="false" customHeight="true" outlineLevel="0" collapsed="false">
      <c r="A151" s="121" t="s">
        <v>202</v>
      </c>
      <c r="B151" s="134"/>
      <c r="C151" s="133"/>
      <c r="D151" s="122" t="s">
        <v>203</v>
      </c>
      <c r="E151" s="126" t="n">
        <v>85</v>
      </c>
      <c r="F151" s="122" t="s">
        <v>306</v>
      </c>
      <c r="G151" s="125" t="n">
        <v>496.4</v>
      </c>
      <c r="H151" s="133"/>
      <c r="I151" s="125" t="n">
        <v>1489.2</v>
      </c>
      <c r="J151" s="133"/>
      <c r="K151" s="125" t="n">
        <v>124.1</v>
      </c>
      <c r="L151" s="129" t="s">
        <v>297</v>
      </c>
      <c r="M151" s="153" t="s">
        <v>307</v>
      </c>
      <c r="N151" s="133"/>
    </row>
    <row r="152" customFormat="false" ht="15" hidden="false" customHeight="true" outlineLevel="0" collapsed="false">
      <c r="A152" s="123" t="s">
        <v>205</v>
      </c>
      <c r="B152" s="134"/>
      <c r="C152" s="134"/>
      <c r="D152" s="134"/>
      <c r="E152" s="134"/>
      <c r="F152" s="134"/>
      <c r="G152" s="134"/>
      <c r="H152" s="134"/>
      <c r="I152" s="134"/>
      <c r="J152" s="134"/>
      <c r="K152" s="133"/>
      <c r="L152" s="124" t="s">
        <v>308</v>
      </c>
      <c r="M152" s="152" t="s">
        <v>309</v>
      </c>
      <c r="N152" s="133"/>
    </row>
    <row r="153" customFormat="false" ht="18.75" hidden="false" customHeight="true" outlineLevel="0" collapsed="false">
      <c r="A153" s="127" t="s">
        <v>207</v>
      </c>
      <c r="B153" s="133"/>
      <c r="C153" s="114"/>
      <c r="D153" s="133"/>
      <c r="E153" s="128" t="s">
        <v>206</v>
      </c>
      <c r="F153" s="134"/>
      <c r="G153" s="133"/>
      <c r="H153" s="114"/>
      <c r="I153" s="134"/>
      <c r="J153" s="134"/>
      <c r="K153" s="133"/>
      <c r="L153" s="128" t="s">
        <v>308</v>
      </c>
      <c r="M153" s="153" t="s">
        <v>309</v>
      </c>
      <c r="N153" s="133"/>
    </row>
    <row r="154" customFormat="false" ht="15" hidden="false" customHeight="true" outlineLevel="0" collapsed="false">
      <c r="A154" s="123" t="s">
        <v>210</v>
      </c>
      <c r="B154" s="134"/>
      <c r="C154" s="133"/>
      <c r="D154" s="119" t="s">
        <v>208</v>
      </c>
      <c r="E154" s="124" t="s">
        <v>206</v>
      </c>
      <c r="F154" s="119" t="s">
        <v>310</v>
      </c>
      <c r="G154" s="124" t="s">
        <v>206</v>
      </c>
      <c r="H154" s="133"/>
      <c r="I154" s="124" t="s">
        <v>206</v>
      </c>
      <c r="J154" s="114"/>
      <c r="K154" s="124" t="s">
        <v>206</v>
      </c>
      <c r="L154" s="124" t="s">
        <v>308</v>
      </c>
      <c r="M154" s="152" t="s">
        <v>309</v>
      </c>
      <c r="N154" s="133"/>
    </row>
    <row r="155" customFormat="false" ht="99.75" hidden="false" customHeight="true" outlineLevel="0" collapsed="false">
      <c r="A155" s="130" t="s">
        <v>311</v>
      </c>
      <c r="B155" s="134"/>
      <c r="C155" s="134"/>
      <c r="D155" s="134"/>
      <c r="E155" s="134"/>
      <c r="F155" s="133"/>
      <c r="G155" s="154" t="n">
        <v>4804.9184</v>
      </c>
      <c r="H155" s="114"/>
      <c r="I155" s="134"/>
      <c r="J155" s="134"/>
      <c r="K155" s="133"/>
      <c r="L155" s="155" t="s">
        <v>312</v>
      </c>
      <c r="M155" s="134"/>
      <c r="N155" s="133"/>
    </row>
    <row r="156" customFormat="false" ht="45.75" hidden="false" customHeight="true" outlineLevel="0" collapsed="false"/>
    <row r="157" customFormat="false" ht="42.75" hidden="false" customHeight="true" outlineLevel="0" collapsed="false"/>
    <row r="158" customFormat="false" ht="108.75" hidden="false" customHeight="true" outlineLevel="0" collapsed="false"/>
    <row r="159" customFormat="false" ht="116.25" hidden="false" customHeight="true" outlineLevel="0" collapsed="false">
      <c r="A159" s="116" t="s">
        <v>313</v>
      </c>
      <c r="B159" s="134"/>
      <c r="C159" s="134"/>
      <c r="D159" s="134"/>
      <c r="E159" s="134"/>
      <c r="F159" s="134"/>
      <c r="G159" s="134"/>
      <c r="H159" s="134"/>
      <c r="I159" s="134"/>
      <c r="J159" s="134"/>
      <c r="K159" s="133"/>
    </row>
    <row r="160" customFormat="false" ht="234" hidden="false" customHeight="true" outlineLevel="0" collapsed="false">
      <c r="A160" s="109" t="s">
        <v>314</v>
      </c>
      <c r="B160" s="134"/>
      <c r="C160" s="134"/>
      <c r="D160" s="134"/>
      <c r="E160" s="134"/>
      <c r="F160" s="134"/>
      <c r="G160" s="134"/>
      <c r="H160" s="134"/>
      <c r="I160" s="134"/>
      <c r="J160" s="134"/>
      <c r="K160" s="133"/>
    </row>
    <row r="162" customFormat="false" ht="42.75" hidden="false" customHeight="true" outlineLevel="0" collapsed="false">
      <c r="A162" s="85" t="s">
        <v>181</v>
      </c>
      <c r="B162" s="133"/>
      <c r="C162" s="85" t="s">
        <v>213</v>
      </c>
      <c r="D162" s="133"/>
      <c r="E162" s="85" t="s">
        <v>315</v>
      </c>
      <c r="F162" s="85" t="s">
        <v>134</v>
      </c>
      <c r="G162" s="133"/>
      <c r="H162" s="85" t="s">
        <v>101</v>
      </c>
      <c r="I162" s="85" t="s">
        <v>316</v>
      </c>
      <c r="J162" s="85" t="s">
        <v>317</v>
      </c>
      <c r="K162" s="85" t="s">
        <v>318</v>
      </c>
    </row>
    <row r="163" customFormat="false" ht="74.25" hidden="false" customHeight="true" outlineLevel="0" collapsed="false">
      <c r="A163" s="117" t="s">
        <v>319</v>
      </c>
      <c r="B163" s="133"/>
      <c r="C163" s="119" t="s">
        <v>216</v>
      </c>
      <c r="D163" s="133"/>
      <c r="E163" s="156" t="s">
        <v>320</v>
      </c>
      <c r="F163" s="123" t="s">
        <v>321</v>
      </c>
      <c r="G163" s="133"/>
      <c r="H163" s="157" t="s">
        <v>217</v>
      </c>
      <c r="I163" s="119"/>
      <c r="J163" s="152" t="s">
        <v>322</v>
      </c>
      <c r="K163" s="158" t="s">
        <v>323</v>
      </c>
    </row>
    <row r="164" customFormat="false" ht="74.25" hidden="false" customHeight="true" outlineLevel="0" collapsed="false">
      <c r="A164" s="121" t="s">
        <v>324</v>
      </c>
      <c r="B164" s="133"/>
      <c r="C164" s="122" t="s">
        <v>216</v>
      </c>
      <c r="D164" s="133"/>
      <c r="E164" s="159" t="s">
        <v>320</v>
      </c>
      <c r="F164" s="127" t="s">
        <v>325</v>
      </c>
      <c r="G164" s="133"/>
      <c r="H164" s="157" t="s">
        <v>217</v>
      </c>
      <c r="I164" s="122"/>
      <c r="J164" s="153" t="s">
        <v>326</v>
      </c>
      <c r="K164" s="158" t="s">
        <v>327</v>
      </c>
    </row>
    <row r="165" customFormat="false" ht="63.75" hidden="false" customHeight="true" outlineLevel="0" collapsed="false">
      <c r="A165" s="117" t="s">
        <v>328</v>
      </c>
      <c r="B165" s="133"/>
      <c r="C165" s="119" t="s">
        <v>216</v>
      </c>
      <c r="D165" s="133"/>
      <c r="E165" s="156" t="s">
        <v>320</v>
      </c>
      <c r="F165" s="123" t="s">
        <v>329</v>
      </c>
      <c r="G165" s="133"/>
      <c r="H165" s="157" t="s">
        <v>217</v>
      </c>
      <c r="I165" s="119"/>
      <c r="J165" s="152" t="s">
        <v>330</v>
      </c>
      <c r="K165" s="152" t="s">
        <v>331</v>
      </c>
    </row>
    <row r="166" customFormat="false" ht="147.75" hidden="false" customHeight="true" outlineLevel="0" collapsed="false">
      <c r="A166" s="121" t="s">
        <v>332</v>
      </c>
      <c r="B166" s="133"/>
      <c r="C166" s="122" t="s">
        <v>216</v>
      </c>
      <c r="D166" s="133"/>
      <c r="E166" s="159" t="s">
        <v>320</v>
      </c>
      <c r="F166" s="127" t="s">
        <v>333</v>
      </c>
      <c r="G166" s="133"/>
      <c r="H166" s="157" t="s">
        <v>217</v>
      </c>
      <c r="I166" s="122"/>
      <c r="J166" s="153" t="s">
        <v>334</v>
      </c>
      <c r="K166" s="153" t="s">
        <v>335</v>
      </c>
    </row>
    <row r="167" customFormat="false" ht="15" hidden="false" customHeight="true" outlineLevel="0" collapsed="false">
      <c r="A167" s="117" t="s">
        <v>336</v>
      </c>
      <c r="B167" s="133"/>
      <c r="C167" s="119" t="s">
        <v>337</v>
      </c>
      <c r="D167" s="133"/>
      <c r="E167" s="156" t="s">
        <v>320</v>
      </c>
      <c r="F167" s="123" t="s">
        <v>338</v>
      </c>
      <c r="G167" s="133"/>
      <c r="H167" s="137" t="s">
        <v>238</v>
      </c>
      <c r="I167" s="119"/>
      <c r="J167" s="152" t="s">
        <v>339</v>
      </c>
      <c r="K167" s="152" t="s">
        <v>340</v>
      </c>
    </row>
    <row r="168" customFormat="false" ht="15" hidden="false" customHeight="true" outlineLevel="0" collapsed="false">
      <c r="A168" s="121" t="s">
        <v>341</v>
      </c>
      <c r="B168" s="133"/>
      <c r="C168" s="122" t="s">
        <v>337</v>
      </c>
      <c r="D168" s="133"/>
      <c r="E168" s="159" t="s">
        <v>320</v>
      </c>
      <c r="F168" s="127" t="s">
        <v>342</v>
      </c>
      <c r="G168" s="133"/>
      <c r="H168" s="137" t="s">
        <v>238</v>
      </c>
      <c r="I168" s="122"/>
      <c r="J168" s="153" t="s">
        <v>343</v>
      </c>
      <c r="K168" s="153" t="s">
        <v>344</v>
      </c>
    </row>
    <row r="169" customFormat="false" ht="21.75" hidden="false" customHeight="true" outlineLevel="0" collapsed="false">
      <c r="A169" s="117" t="s">
        <v>345</v>
      </c>
      <c r="B169" s="133"/>
      <c r="C169" s="119" t="s">
        <v>346</v>
      </c>
      <c r="D169" s="133"/>
      <c r="E169" s="156" t="s">
        <v>320</v>
      </c>
      <c r="F169" s="123" t="s">
        <v>347</v>
      </c>
      <c r="G169" s="133"/>
      <c r="H169" s="137" t="s">
        <v>238</v>
      </c>
      <c r="I169" s="119"/>
      <c r="J169" s="152" t="s">
        <v>348</v>
      </c>
      <c r="K169" s="152" t="s">
        <v>349</v>
      </c>
    </row>
    <row r="170" customFormat="false" ht="18.75" hidden="false" customHeight="true" outlineLevel="0" collapsed="false">
      <c r="A170" s="121" t="s">
        <v>350</v>
      </c>
      <c r="B170" s="133"/>
      <c r="C170" s="122" t="s">
        <v>346</v>
      </c>
      <c r="D170" s="133"/>
      <c r="E170" s="159" t="s">
        <v>320</v>
      </c>
      <c r="F170" s="127" t="s">
        <v>351</v>
      </c>
      <c r="G170" s="133"/>
      <c r="H170" s="137" t="s">
        <v>238</v>
      </c>
      <c r="I170" s="122"/>
      <c r="J170" s="153" t="s">
        <v>352</v>
      </c>
      <c r="K170" s="153" t="s">
        <v>353</v>
      </c>
    </row>
    <row r="171" customFormat="false" ht="18.75" hidden="false" customHeight="true" outlineLevel="0" collapsed="false">
      <c r="A171" s="117" t="s">
        <v>354</v>
      </c>
      <c r="B171" s="133"/>
      <c r="C171" s="119" t="s">
        <v>346</v>
      </c>
      <c r="D171" s="133"/>
      <c r="E171" s="156" t="s">
        <v>320</v>
      </c>
      <c r="F171" s="123" t="s">
        <v>355</v>
      </c>
      <c r="G171" s="133"/>
      <c r="H171" s="137" t="s">
        <v>238</v>
      </c>
      <c r="I171" s="119"/>
      <c r="J171" s="152" t="s">
        <v>356</v>
      </c>
      <c r="K171" s="152" t="s">
        <v>357</v>
      </c>
    </row>
    <row r="172" customFormat="false" ht="15" hidden="false" customHeight="true" outlineLevel="0" collapsed="false">
      <c r="A172" s="121" t="s">
        <v>358</v>
      </c>
      <c r="B172" s="134"/>
      <c r="C172" s="134"/>
      <c r="D172" s="134"/>
      <c r="E172" s="134"/>
      <c r="F172" s="134"/>
      <c r="G172" s="133"/>
      <c r="H172" s="137" t="s">
        <v>238</v>
      </c>
      <c r="I172" s="122"/>
      <c r="J172" s="153" t="s">
        <v>359</v>
      </c>
      <c r="K172" s="153" t="s">
        <v>360</v>
      </c>
    </row>
    <row r="173" customFormat="false" ht="15" hidden="false" customHeight="true" outlineLevel="0" collapsed="false">
      <c r="A173" s="117" t="s">
        <v>361</v>
      </c>
      <c r="B173" s="133"/>
      <c r="C173" s="119" t="s">
        <v>362</v>
      </c>
      <c r="D173" s="133"/>
      <c r="E173" s="156" t="s">
        <v>320</v>
      </c>
      <c r="F173" s="123" t="s">
        <v>363</v>
      </c>
      <c r="G173" s="133"/>
      <c r="H173" s="146" t="s">
        <v>364</v>
      </c>
      <c r="I173" s="160"/>
      <c r="J173" s="152" t="s">
        <v>365</v>
      </c>
      <c r="K173" s="152" t="s">
        <v>366</v>
      </c>
    </row>
    <row r="174" customFormat="false" ht="18.75" hidden="false" customHeight="true" outlineLevel="0" collapsed="false">
      <c r="A174" s="121" t="s">
        <v>367</v>
      </c>
      <c r="B174" s="133"/>
      <c r="C174" s="122" t="s">
        <v>337</v>
      </c>
      <c r="D174" s="133"/>
      <c r="E174" s="159" t="s">
        <v>320</v>
      </c>
      <c r="F174" s="127" t="s">
        <v>368</v>
      </c>
      <c r="G174" s="133"/>
      <c r="H174" s="137" t="s">
        <v>238</v>
      </c>
      <c r="I174" s="122"/>
      <c r="J174" s="153" t="s">
        <v>369</v>
      </c>
      <c r="K174" s="158" t="s">
        <v>370</v>
      </c>
    </row>
    <row r="175" customFormat="false" ht="15" hidden="false" customHeight="true" outlineLevel="0" collapsed="false"/>
    <row r="176" customFormat="false" ht="15" hidden="false" customHeight="true" outlineLevel="0" collapsed="false">
      <c r="A176" s="130" t="s">
        <v>371</v>
      </c>
      <c r="B176" s="134"/>
      <c r="C176" s="134"/>
      <c r="D176" s="134"/>
      <c r="E176" s="134"/>
      <c r="F176" s="134"/>
      <c r="G176" s="134"/>
      <c r="H176" s="134"/>
      <c r="I176" s="134"/>
      <c r="J176" s="134"/>
      <c r="K176" s="133"/>
    </row>
    <row r="177" customFormat="false" ht="18.75" hidden="false" customHeight="true" outlineLevel="0" collapsed="false">
      <c r="A177" s="117" t="s">
        <v>372</v>
      </c>
      <c r="B177" s="133"/>
      <c r="C177" s="119" t="s">
        <v>373</v>
      </c>
      <c r="D177" s="133"/>
      <c r="E177" s="161" t="s">
        <v>374</v>
      </c>
      <c r="F177" s="134"/>
      <c r="G177" s="133"/>
      <c r="H177" s="152" t="s">
        <v>375</v>
      </c>
      <c r="I177" s="134"/>
      <c r="J177" s="134"/>
      <c r="K177" s="133"/>
    </row>
    <row r="178" customFormat="false" ht="15" hidden="false" customHeight="true" outlineLevel="0" collapsed="false">
      <c r="A178" s="121" t="s">
        <v>376</v>
      </c>
      <c r="B178" s="133"/>
      <c r="C178" s="122" t="s">
        <v>377</v>
      </c>
      <c r="D178" s="133"/>
      <c r="E178" s="161" t="s">
        <v>378</v>
      </c>
      <c r="F178" s="134"/>
      <c r="G178" s="133"/>
      <c r="H178" s="153" t="s">
        <v>379</v>
      </c>
      <c r="I178" s="134"/>
      <c r="J178" s="134"/>
      <c r="K178" s="133"/>
    </row>
    <row r="179" customFormat="false" ht="54.75" hidden="false" customHeight="true" outlineLevel="0" collapsed="false">
      <c r="A179" s="117" t="s">
        <v>380</v>
      </c>
      <c r="B179" s="133"/>
      <c r="C179" s="119" t="s">
        <v>381</v>
      </c>
      <c r="D179" s="133"/>
      <c r="E179" s="161" t="s">
        <v>382</v>
      </c>
      <c r="F179" s="134"/>
      <c r="G179" s="133"/>
      <c r="H179" s="152" t="s">
        <v>383</v>
      </c>
      <c r="I179" s="134"/>
      <c r="J179" s="134"/>
      <c r="K179" s="133"/>
    </row>
    <row r="180" customFormat="false" ht="45.75" hidden="false" customHeight="true" outlineLevel="0" collapsed="false">
      <c r="A180" s="121" t="s">
        <v>384</v>
      </c>
      <c r="B180" s="133"/>
      <c r="C180" s="146" t="s">
        <v>362</v>
      </c>
      <c r="D180" s="133"/>
      <c r="E180" s="161" t="s">
        <v>385</v>
      </c>
      <c r="F180" s="134"/>
      <c r="G180" s="133"/>
      <c r="H180" s="153" t="s">
        <v>386</v>
      </c>
      <c r="I180" s="134"/>
      <c r="J180" s="134"/>
      <c r="K180" s="133"/>
    </row>
    <row r="181" customFormat="false" ht="42.75" hidden="false" customHeight="true" outlineLevel="0" collapsed="false"/>
    <row r="188" customFormat="false" ht="147.75" hidden="false" customHeight="true" outlineLevel="0" collapsed="false">
      <c r="A188" s="116" t="s">
        <v>387</v>
      </c>
      <c r="B188" s="134"/>
      <c r="C188" s="134"/>
      <c r="D188" s="134"/>
      <c r="E188" s="134"/>
      <c r="F188" s="134"/>
      <c r="G188" s="134"/>
      <c r="H188" s="134"/>
      <c r="I188" s="134"/>
      <c r="J188" s="134"/>
      <c r="K188" s="134"/>
      <c r="L188" s="133"/>
    </row>
    <row r="189" customFormat="false" ht="15" hidden="false" customHeight="true" outlineLevel="0" collapsed="false">
      <c r="A189" s="85" t="s">
        <v>388</v>
      </c>
      <c r="B189" s="85" t="s">
        <v>389</v>
      </c>
      <c r="C189" s="85" t="s">
        <v>390</v>
      </c>
      <c r="D189" s="85" t="s">
        <v>391</v>
      </c>
      <c r="E189" s="85" t="s">
        <v>392</v>
      </c>
      <c r="F189" s="85" t="s">
        <v>393</v>
      </c>
      <c r="G189" s="85" t="s">
        <v>394</v>
      </c>
      <c r="H189" s="85" t="s">
        <v>395</v>
      </c>
      <c r="I189" s="85" t="s">
        <v>396</v>
      </c>
      <c r="J189" s="85" t="s">
        <v>397</v>
      </c>
      <c r="K189" s="85" t="s">
        <v>398</v>
      </c>
      <c r="L189" s="85" t="s">
        <v>134</v>
      </c>
    </row>
    <row r="190" customFormat="false" ht="15" hidden="false" customHeight="true" outlineLevel="0" collapsed="false">
      <c r="A190" s="162" t="s">
        <v>399</v>
      </c>
      <c r="B190" s="119" t="s">
        <v>400</v>
      </c>
      <c r="C190" s="163" t="s">
        <v>401</v>
      </c>
      <c r="D190" s="123" t="s">
        <v>402</v>
      </c>
      <c r="E190" s="119" t="n">
        <v>5</v>
      </c>
      <c r="F190" s="164" t="n">
        <v>19.82</v>
      </c>
      <c r="G190" s="164" t="n">
        <v>9.91</v>
      </c>
      <c r="H190" s="165" t="n">
        <v>49.55</v>
      </c>
      <c r="I190" s="164" t="n">
        <v>3.59</v>
      </c>
      <c r="J190" s="165" t="n">
        <v>53.14</v>
      </c>
      <c r="K190" s="123" t="s">
        <v>403</v>
      </c>
      <c r="L190" s="152" t="s">
        <v>404</v>
      </c>
    </row>
    <row r="191" customFormat="false" ht="21.75" hidden="false" customHeight="true" outlineLevel="0" collapsed="false">
      <c r="A191" s="166" t="s">
        <v>405</v>
      </c>
      <c r="B191" s="122" t="s">
        <v>261</v>
      </c>
      <c r="C191" s="167" t="s">
        <v>406</v>
      </c>
      <c r="D191" s="127" t="s">
        <v>407</v>
      </c>
      <c r="E191" s="122" t="n">
        <v>4</v>
      </c>
      <c r="F191" s="168" t="n">
        <v>20.66</v>
      </c>
      <c r="G191" s="168" t="n">
        <v>10.33</v>
      </c>
      <c r="H191" s="169" t="n">
        <v>41.32</v>
      </c>
      <c r="I191" s="168" t="n">
        <v>3</v>
      </c>
      <c r="J191" s="169" t="n">
        <v>44.32</v>
      </c>
      <c r="K191" s="170" t="s">
        <v>259</v>
      </c>
      <c r="L191" s="153" t="s">
        <v>408</v>
      </c>
    </row>
    <row r="192" customFormat="false" ht="18.75" hidden="false" customHeight="true" outlineLevel="0" collapsed="false">
      <c r="A192" s="162" t="s">
        <v>409</v>
      </c>
      <c r="B192" s="119" t="s">
        <v>239</v>
      </c>
      <c r="C192" s="163" t="s">
        <v>410</v>
      </c>
      <c r="D192" s="123" t="s">
        <v>411</v>
      </c>
      <c r="E192" s="119" t="n">
        <v>4</v>
      </c>
      <c r="F192" s="164" t="n">
        <v>18.18</v>
      </c>
      <c r="G192" s="164" t="n">
        <v>9.09</v>
      </c>
      <c r="H192" s="165" t="n">
        <v>36.36</v>
      </c>
      <c r="I192" s="171" t="s">
        <v>18</v>
      </c>
      <c r="J192" s="171" t="s">
        <v>18</v>
      </c>
      <c r="K192" s="170" t="s">
        <v>187</v>
      </c>
      <c r="L192" s="152" t="s">
        <v>412</v>
      </c>
    </row>
    <row r="193" customFormat="false" ht="18.75" hidden="false" customHeight="true" outlineLevel="0" collapsed="false">
      <c r="A193" s="166" t="s">
        <v>409</v>
      </c>
      <c r="B193" s="122" t="s">
        <v>239</v>
      </c>
      <c r="C193" s="167" t="s">
        <v>413</v>
      </c>
      <c r="D193" s="127" t="s">
        <v>414</v>
      </c>
      <c r="E193" s="122" t="n">
        <v>4</v>
      </c>
      <c r="F193" s="168" t="n">
        <v>43.58</v>
      </c>
      <c r="G193" s="168" t="n">
        <v>21.79</v>
      </c>
      <c r="H193" s="169" t="n">
        <v>87.16</v>
      </c>
      <c r="I193" s="172" t="s">
        <v>18</v>
      </c>
      <c r="J193" s="172" t="s">
        <v>18</v>
      </c>
      <c r="K193" s="170" t="s">
        <v>185</v>
      </c>
      <c r="L193" s="153" t="s">
        <v>415</v>
      </c>
    </row>
    <row r="194" customFormat="false" ht="15" hidden="false" customHeight="true" outlineLevel="0" collapsed="false">
      <c r="A194" s="162" t="s">
        <v>409</v>
      </c>
      <c r="B194" s="119" t="s">
        <v>239</v>
      </c>
      <c r="C194" s="163" t="s">
        <v>416</v>
      </c>
      <c r="D194" s="123" t="s">
        <v>417</v>
      </c>
      <c r="E194" s="119" t="n">
        <v>1</v>
      </c>
      <c r="F194" s="164" t="n">
        <v>38.26</v>
      </c>
      <c r="G194" s="164" t="n">
        <v>19.13</v>
      </c>
      <c r="H194" s="165" t="n">
        <v>19.13</v>
      </c>
      <c r="I194" s="171" t="s">
        <v>18</v>
      </c>
      <c r="J194" s="171" t="s">
        <v>18</v>
      </c>
      <c r="K194" s="123" t="s">
        <v>403</v>
      </c>
      <c r="L194" s="152" t="s">
        <v>418</v>
      </c>
    </row>
    <row r="195" customFormat="false" ht="15" hidden="false" customHeight="true" outlineLevel="0" collapsed="false">
      <c r="A195" s="166" t="s">
        <v>409</v>
      </c>
      <c r="B195" s="122" t="s">
        <v>239</v>
      </c>
      <c r="C195" s="167" t="s">
        <v>244</v>
      </c>
      <c r="D195" s="127" t="s">
        <v>419</v>
      </c>
      <c r="E195" s="122" t="n">
        <v>1</v>
      </c>
      <c r="F195" s="168" t="n">
        <v>110.24</v>
      </c>
      <c r="G195" s="168" t="n">
        <v>55.12</v>
      </c>
      <c r="H195" s="169" t="n">
        <v>55.12</v>
      </c>
      <c r="I195" s="172" t="s">
        <v>18</v>
      </c>
      <c r="J195" s="172" t="s">
        <v>18</v>
      </c>
      <c r="K195" s="170" t="s">
        <v>191</v>
      </c>
      <c r="L195" s="153" t="s">
        <v>420</v>
      </c>
    </row>
    <row r="196" customFormat="false" ht="18.75" hidden="false" customHeight="true" outlineLevel="0" collapsed="false">
      <c r="A196" s="162" t="s">
        <v>409</v>
      </c>
      <c r="B196" s="119" t="s">
        <v>239</v>
      </c>
      <c r="C196" s="163" t="s">
        <v>244</v>
      </c>
      <c r="D196" s="123" t="s">
        <v>421</v>
      </c>
      <c r="E196" s="119" t="n">
        <v>3</v>
      </c>
      <c r="F196" s="164" t="n">
        <v>110.24</v>
      </c>
      <c r="G196" s="164" t="n">
        <v>55.12</v>
      </c>
      <c r="H196" s="165" t="n">
        <v>165.36</v>
      </c>
      <c r="I196" s="171" t="s">
        <v>18</v>
      </c>
      <c r="J196" s="171" t="s">
        <v>18</v>
      </c>
      <c r="K196" s="170" t="s">
        <v>191</v>
      </c>
      <c r="L196" s="152" t="s">
        <v>422</v>
      </c>
    </row>
    <row r="197" customFormat="false" ht="15" hidden="false" customHeight="true" outlineLevel="0" collapsed="false">
      <c r="A197" s="166" t="s">
        <v>409</v>
      </c>
      <c r="B197" s="122" t="s">
        <v>239</v>
      </c>
      <c r="C197" s="167" t="s">
        <v>423</v>
      </c>
      <c r="D197" s="127" t="s">
        <v>424</v>
      </c>
      <c r="E197" s="122" t="n">
        <v>1</v>
      </c>
      <c r="F197" s="168" t="n">
        <v>229.18</v>
      </c>
      <c r="G197" s="168" t="n">
        <v>114.59</v>
      </c>
      <c r="H197" s="169" t="n">
        <v>114.59</v>
      </c>
      <c r="I197" s="172" t="s">
        <v>18</v>
      </c>
      <c r="J197" s="172" t="s">
        <v>18</v>
      </c>
      <c r="K197" s="127" t="s">
        <v>403</v>
      </c>
      <c r="L197" s="153" t="s">
        <v>425</v>
      </c>
    </row>
    <row r="198" customFormat="false" ht="15" hidden="false" customHeight="true" outlineLevel="0" collapsed="false">
      <c r="A198" s="162" t="s">
        <v>409</v>
      </c>
      <c r="B198" s="119" t="s">
        <v>239</v>
      </c>
      <c r="C198" s="163" t="s">
        <v>426</v>
      </c>
      <c r="D198" s="123" t="s">
        <v>427</v>
      </c>
      <c r="E198" s="119" t="n">
        <v>1</v>
      </c>
      <c r="F198" s="164" t="n">
        <v>238.02</v>
      </c>
      <c r="G198" s="164" t="n">
        <v>119.01</v>
      </c>
      <c r="H198" s="165" t="n">
        <v>119.01</v>
      </c>
      <c r="I198" s="171" t="s">
        <v>18</v>
      </c>
      <c r="J198" s="171" t="s">
        <v>18</v>
      </c>
      <c r="K198" s="123" t="s">
        <v>403</v>
      </c>
      <c r="L198" s="152" t="s">
        <v>428</v>
      </c>
    </row>
    <row r="199" customFormat="false" ht="18.75" hidden="false" customHeight="true" outlineLevel="0" collapsed="false">
      <c r="A199" s="166" t="s">
        <v>409</v>
      </c>
      <c r="B199" s="122" t="s">
        <v>239</v>
      </c>
      <c r="C199" s="167" t="s">
        <v>429</v>
      </c>
      <c r="D199" s="127" t="s">
        <v>430</v>
      </c>
      <c r="E199" s="122" t="n">
        <v>1</v>
      </c>
      <c r="F199" s="168" t="n">
        <v>82.45</v>
      </c>
      <c r="G199" s="168" t="n">
        <v>71.99</v>
      </c>
      <c r="H199" s="169" t="n">
        <v>71.99</v>
      </c>
      <c r="I199" s="172" t="s">
        <v>18</v>
      </c>
      <c r="J199" s="172" t="s">
        <v>18</v>
      </c>
      <c r="K199" s="127" t="s">
        <v>403</v>
      </c>
      <c r="L199" s="153" t="s">
        <v>431</v>
      </c>
    </row>
    <row r="200" customFormat="false" ht="15" hidden="false" customHeight="true" outlineLevel="0" collapsed="false">
      <c r="A200" s="162" t="s">
        <v>409</v>
      </c>
      <c r="B200" s="119" t="s">
        <v>239</v>
      </c>
      <c r="C200" s="163" t="s">
        <v>18</v>
      </c>
      <c r="D200" s="123" t="s">
        <v>432</v>
      </c>
      <c r="E200" s="119" t="n">
        <v>1</v>
      </c>
      <c r="F200" s="171" t="s">
        <v>18</v>
      </c>
      <c r="G200" s="171" t="s">
        <v>18</v>
      </c>
      <c r="H200" s="165" t="n">
        <v>48.48</v>
      </c>
      <c r="I200" s="164" t="n">
        <v>48.48</v>
      </c>
      <c r="J200" s="165" t="n">
        <v>717.2</v>
      </c>
      <c r="K200" s="123" t="s">
        <v>18</v>
      </c>
      <c r="L200" s="152" t="s">
        <v>433</v>
      </c>
    </row>
    <row r="202" customFormat="false" ht="45.75" hidden="false" customHeight="true" outlineLevel="0" collapsed="false">
      <c r="A202" s="129" t="s">
        <v>364</v>
      </c>
      <c r="B202" s="134"/>
      <c r="C202" s="134"/>
      <c r="D202" s="134"/>
      <c r="E202" s="134"/>
      <c r="F202" s="134"/>
      <c r="G202" s="133"/>
      <c r="H202" s="129" t="s">
        <v>206</v>
      </c>
      <c r="I202" s="129" t="s">
        <v>206</v>
      </c>
      <c r="J202" s="129" t="s">
        <v>206</v>
      </c>
      <c r="K202" s="170" t="s">
        <v>434</v>
      </c>
      <c r="L202" s="173" t="s">
        <v>435</v>
      </c>
    </row>
    <row r="203" customFormat="false" ht="42.75" hidden="false" customHeight="true" outlineLevel="0" collapsed="false">
      <c r="A203" s="130" t="s">
        <v>436</v>
      </c>
      <c r="B203" s="134"/>
      <c r="C203" s="134"/>
      <c r="D203" s="134"/>
      <c r="E203" s="134"/>
      <c r="F203" s="134"/>
      <c r="G203" s="133"/>
      <c r="H203" s="137" t="s">
        <v>437</v>
      </c>
      <c r="I203" s="137" t="s">
        <v>438</v>
      </c>
      <c r="J203" s="137" t="s">
        <v>439</v>
      </c>
      <c r="K203" s="41" t="s">
        <v>440</v>
      </c>
      <c r="L203" s="174" t="n">
        <v>814.66</v>
      </c>
    </row>
  </sheetData>
  <mergeCells count="422">
    <mergeCell ref="A1:L1"/>
    <mergeCell ref="A2:L2"/>
    <mergeCell ref="A3:N3"/>
    <mergeCell ref="A4:N4"/>
    <mergeCell ref="A6:L6"/>
    <mergeCell ref="A7:B7"/>
    <mergeCell ref="C7:D7"/>
    <mergeCell ref="E7:F7"/>
    <mergeCell ref="G7:H7"/>
    <mergeCell ref="A8:B8"/>
    <mergeCell ref="C8:D8"/>
    <mergeCell ref="E8:F8"/>
    <mergeCell ref="H8:L8"/>
    <mergeCell ref="A9:N9"/>
    <mergeCell ref="A10:B10"/>
    <mergeCell ref="C10:D10"/>
    <mergeCell ref="E10:F10"/>
    <mergeCell ref="H10:L10"/>
    <mergeCell ref="M10:N10"/>
    <mergeCell ref="A11:B11"/>
    <mergeCell ref="C11:D11"/>
    <mergeCell ref="E11:F11"/>
    <mergeCell ref="G11:H11"/>
    <mergeCell ref="M11:N11"/>
    <mergeCell ref="A12:C12"/>
    <mergeCell ref="E12:F12"/>
    <mergeCell ref="H12:L12"/>
    <mergeCell ref="M12:N12"/>
    <mergeCell ref="A13:C13"/>
    <mergeCell ref="E13:F13"/>
    <mergeCell ref="G13:H13"/>
    <mergeCell ref="M13:N13"/>
    <mergeCell ref="A14:C14"/>
    <mergeCell ref="E14:F14"/>
    <mergeCell ref="G14:H14"/>
    <mergeCell ref="I14:J14"/>
    <mergeCell ref="K14:L14"/>
    <mergeCell ref="M14:N14"/>
    <mergeCell ref="A15:L15"/>
    <mergeCell ref="M15:N15"/>
    <mergeCell ref="A16:C16"/>
    <mergeCell ref="E16:F16"/>
    <mergeCell ref="G16:H16"/>
    <mergeCell ref="I16:J16"/>
    <mergeCell ref="K16:L16"/>
    <mergeCell ref="M16:N16"/>
    <mergeCell ref="A17:C17"/>
    <mergeCell ref="E17:F17"/>
    <mergeCell ref="G17:H17"/>
    <mergeCell ref="I17:J17"/>
    <mergeCell ref="K17:L17"/>
    <mergeCell ref="M17:N17"/>
    <mergeCell ref="A18:C18"/>
    <mergeCell ref="E18:F18"/>
    <mergeCell ref="G18:H18"/>
    <mergeCell ref="I18:J18"/>
    <mergeCell ref="K18:L18"/>
    <mergeCell ref="M18:N18"/>
    <mergeCell ref="A19:C19"/>
    <mergeCell ref="E19:F19"/>
    <mergeCell ref="G19:H19"/>
    <mergeCell ref="I19:J19"/>
    <mergeCell ref="K19:L19"/>
    <mergeCell ref="M19:N19"/>
    <mergeCell ref="A20:C20"/>
    <mergeCell ref="E20:F20"/>
    <mergeCell ref="G20:H20"/>
    <mergeCell ref="I20:J20"/>
    <mergeCell ref="K20:L20"/>
    <mergeCell ref="M20:N20"/>
    <mergeCell ref="A21:C21"/>
    <mergeCell ref="E21:F21"/>
    <mergeCell ref="G21:H21"/>
    <mergeCell ref="I21:J21"/>
    <mergeCell ref="K21:L21"/>
    <mergeCell ref="M21:N21"/>
    <mergeCell ref="A22:C22"/>
    <mergeCell ref="E22:F22"/>
    <mergeCell ref="G22:H22"/>
    <mergeCell ref="I22:J22"/>
    <mergeCell ref="K22:L22"/>
    <mergeCell ref="M22:N22"/>
    <mergeCell ref="A23:C23"/>
    <mergeCell ref="E23:F23"/>
    <mergeCell ref="G23:H23"/>
    <mergeCell ref="I23:J23"/>
    <mergeCell ref="K23:L23"/>
    <mergeCell ref="M23:N23"/>
    <mergeCell ref="A24:C24"/>
    <mergeCell ref="E24:F24"/>
    <mergeCell ref="G24:H24"/>
    <mergeCell ref="I24:J24"/>
    <mergeCell ref="K24:L24"/>
    <mergeCell ref="M24:N24"/>
    <mergeCell ref="A25:C25"/>
    <mergeCell ref="E25:F25"/>
    <mergeCell ref="G25:H25"/>
    <mergeCell ref="I25:J25"/>
    <mergeCell ref="K25:L25"/>
    <mergeCell ref="M25:N25"/>
    <mergeCell ref="A26:B26"/>
    <mergeCell ref="I26:J26"/>
    <mergeCell ref="K26:L26"/>
    <mergeCell ref="M26:N26"/>
    <mergeCell ref="A27:B27"/>
    <mergeCell ref="K27:L27"/>
    <mergeCell ref="A28:B28"/>
    <mergeCell ref="K28:L28"/>
    <mergeCell ref="A29:B29"/>
    <mergeCell ref="K29:L29"/>
    <mergeCell ref="A30:B30"/>
    <mergeCell ref="K30:L30"/>
    <mergeCell ref="A31:B31"/>
    <mergeCell ref="K31:L31"/>
    <mergeCell ref="A33:L33"/>
    <mergeCell ref="A34:B34"/>
    <mergeCell ref="K34:L34"/>
    <mergeCell ref="A35:B35"/>
    <mergeCell ref="K35:L35"/>
    <mergeCell ref="A36:B36"/>
    <mergeCell ref="K36:L36"/>
    <mergeCell ref="A37:B37"/>
    <mergeCell ref="K37:L37"/>
    <mergeCell ref="A38:B38"/>
    <mergeCell ref="K38:L38"/>
    <mergeCell ref="A39:B39"/>
    <mergeCell ref="K39:L39"/>
    <mergeCell ref="A40:B40"/>
    <mergeCell ref="K40:L40"/>
    <mergeCell ref="A41:B41"/>
    <mergeCell ref="K41:L41"/>
    <mergeCell ref="A42:B42"/>
    <mergeCell ref="K42:L42"/>
    <mergeCell ref="A43:B43"/>
    <mergeCell ref="K43:L43"/>
    <mergeCell ref="A44:B44"/>
    <mergeCell ref="K44:L44"/>
    <mergeCell ref="A45:B45"/>
    <mergeCell ref="K45:L45"/>
    <mergeCell ref="A46:B46"/>
    <mergeCell ref="K46:L46"/>
    <mergeCell ref="A47:B47"/>
    <mergeCell ref="K47:L47"/>
    <mergeCell ref="A48:B48"/>
    <mergeCell ref="K48:L48"/>
    <mergeCell ref="A49:B49"/>
    <mergeCell ref="K49:L49"/>
    <mergeCell ref="A51:L51"/>
    <mergeCell ref="A52:B52"/>
    <mergeCell ref="K52:L52"/>
    <mergeCell ref="A53:B53"/>
    <mergeCell ref="K53:L53"/>
    <mergeCell ref="A54:B54"/>
    <mergeCell ref="K54:L54"/>
    <mergeCell ref="A55:B55"/>
    <mergeCell ref="K55:L55"/>
    <mergeCell ref="A56:B56"/>
    <mergeCell ref="K56:L56"/>
    <mergeCell ref="A57:B57"/>
    <mergeCell ref="K57:L57"/>
    <mergeCell ref="A58:B58"/>
    <mergeCell ref="K58:L58"/>
    <mergeCell ref="A59:B59"/>
    <mergeCell ref="K59:L59"/>
    <mergeCell ref="A60:B60"/>
    <mergeCell ref="K60:L60"/>
    <mergeCell ref="A61:B61"/>
    <mergeCell ref="K61:L61"/>
    <mergeCell ref="A62:B62"/>
    <mergeCell ref="K62:L62"/>
    <mergeCell ref="A63:B63"/>
    <mergeCell ref="K63:L63"/>
    <mergeCell ref="A64:B64"/>
    <mergeCell ref="K64:L64"/>
    <mergeCell ref="A65:B65"/>
    <mergeCell ref="K65:L65"/>
    <mergeCell ref="A66:B66"/>
    <mergeCell ref="K66:L66"/>
    <mergeCell ref="A67:B67"/>
    <mergeCell ref="K67:L67"/>
    <mergeCell ref="A69:L69"/>
    <mergeCell ref="A70:B70"/>
    <mergeCell ref="C70:F70"/>
    <mergeCell ref="G70:H70"/>
    <mergeCell ref="K70:L70"/>
    <mergeCell ref="A71:B71"/>
    <mergeCell ref="C71:F71"/>
    <mergeCell ref="G71:H71"/>
    <mergeCell ref="K71:L71"/>
    <mergeCell ref="A72:B72"/>
    <mergeCell ref="C72:F72"/>
    <mergeCell ref="G72:H72"/>
    <mergeCell ref="K72:L72"/>
    <mergeCell ref="A73:B73"/>
    <mergeCell ref="C73:F73"/>
    <mergeCell ref="G73:H73"/>
    <mergeCell ref="K73:L73"/>
    <mergeCell ref="A74:B74"/>
    <mergeCell ref="C74:F74"/>
    <mergeCell ref="G74:H74"/>
    <mergeCell ref="K74:L74"/>
    <mergeCell ref="A75:B75"/>
    <mergeCell ref="C75:F75"/>
    <mergeCell ref="G75:H75"/>
    <mergeCell ref="K75:L75"/>
    <mergeCell ref="A76:B76"/>
    <mergeCell ref="C76:F76"/>
    <mergeCell ref="G76:H76"/>
    <mergeCell ref="K76:L76"/>
    <mergeCell ref="A77:B77"/>
    <mergeCell ref="C77:F77"/>
    <mergeCell ref="G77:H77"/>
    <mergeCell ref="K77:L77"/>
    <mergeCell ref="A78:B78"/>
    <mergeCell ref="C78:F78"/>
    <mergeCell ref="G78:H78"/>
    <mergeCell ref="K78:L78"/>
    <mergeCell ref="A79:B79"/>
    <mergeCell ref="C79:F79"/>
    <mergeCell ref="G79:H79"/>
    <mergeCell ref="K79:L79"/>
    <mergeCell ref="A80:B80"/>
    <mergeCell ref="C80:F80"/>
    <mergeCell ref="G80:H80"/>
    <mergeCell ref="K80:L80"/>
    <mergeCell ref="A81:B81"/>
    <mergeCell ref="C81:F81"/>
    <mergeCell ref="G81:H81"/>
    <mergeCell ref="K81:L81"/>
    <mergeCell ref="A82:B82"/>
    <mergeCell ref="C82:F82"/>
    <mergeCell ref="G82:H82"/>
    <mergeCell ref="K82:L82"/>
    <mergeCell ref="A83:B83"/>
    <mergeCell ref="C83:F83"/>
    <mergeCell ref="G83:H83"/>
    <mergeCell ref="K83:L83"/>
    <mergeCell ref="A84:B84"/>
    <mergeCell ref="C84:F84"/>
    <mergeCell ref="G84:H84"/>
    <mergeCell ref="K84:L84"/>
    <mergeCell ref="A85:B85"/>
    <mergeCell ref="C85:F85"/>
    <mergeCell ref="G85:H85"/>
    <mergeCell ref="K85:L85"/>
    <mergeCell ref="A86:B86"/>
    <mergeCell ref="C86:F86"/>
    <mergeCell ref="G86:H86"/>
    <mergeCell ref="K86:L86"/>
    <mergeCell ref="A87:B87"/>
    <mergeCell ref="C87:F87"/>
    <mergeCell ref="G87:H87"/>
    <mergeCell ref="K87:L87"/>
    <mergeCell ref="A88:B88"/>
    <mergeCell ref="C88:F88"/>
    <mergeCell ref="G88:H88"/>
    <mergeCell ref="K88:L88"/>
    <mergeCell ref="A89:B89"/>
    <mergeCell ref="C89:F89"/>
    <mergeCell ref="G89:H89"/>
    <mergeCell ref="K89:L89"/>
    <mergeCell ref="A90:B90"/>
    <mergeCell ref="C90:F90"/>
    <mergeCell ref="G90:H90"/>
    <mergeCell ref="K90:L90"/>
    <mergeCell ref="A91:B91"/>
    <mergeCell ref="C91:F91"/>
    <mergeCell ref="G91:H91"/>
    <mergeCell ref="K91:L91"/>
    <mergeCell ref="A92:B92"/>
    <mergeCell ref="C92:F92"/>
    <mergeCell ref="G92:H92"/>
    <mergeCell ref="K92:L92"/>
    <mergeCell ref="A93:B93"/>
    <mergeCell ref="C93:F93"/>
    <mergeCell ref="G93:H93"/>
    <mergeCell ref="K93:L93"/>
    <mergeCell ref="A94:B94"/>
    <mergeCell ref="C94:F94"/>
    <mergeCell ref="G94:H94"/>
    <mergeCell ref="K94:L94"/>
    <mergeCell ref="A95:B95"/>
    <mergeCell ref="C95:F95"/>
    <mergeCell ref="G95:H95"/>
    <mergeCell ref="K95:L95"/>
    <mergeCell ref="A96:B96"/>
    <mergeCell ref="C96:F96"/>
    <mergeCell ref="G96:H96"/>
    <mergeCell ref="K96:L96"/>
    <mergeCell ref="A97:B97"/>
    <mergeCell ref="C97:F97"/>
    <mergeCell ref="G97:H97"/>
    <mergeCell ref="K97:L97"/>
    <mergeCell ref="A98:B98"/>
    <mergeCell ref="C98:F98"/>
    <mergeCell ref="G98:H98"/>
    <mergeCell ref="K98:L98"/>
    <mergeCell ref="A99:B99"/>
    <mergeCell ref="C99:F99"/>
    <mergeCell ref="G99:H99"/>
    <mergeCell ref="K99:L99"/>
    <mergeCell ref="A100:B100"/>
    <mergeCell ref="C100:F100"/>
    <mergeCell ref="G100:H100"/>
    <mergeCell ref="K100:L100"/>
    <mergeCell ref="A101:B101"/>
    <mergeCell ref="C101:F101"/>
    <mergeCell ref="G101:H101"/>
    <mergeCell ref="K101:L101"/>
    <mergeCell ref="A102:B102"/>
    <mergeCell ref="C102:F102"/>
    <mergeCell ref="G102:H102"/>
    <mergeCell ref="K102:L102"/>
    <mergeCell ref="A103:B103"/>
    <mergeCell ref="C103:F103"/>
    <mergeCell ref="G103:H103"/>
    <mergeCell ref="K103:L103"/>
    <mergeCell ref="A104:B104"/>
    <mergeCell ref="C104:F104"/>
    <mergeCell ref="G104:H104"/>
    <mergeCell ref="K104:L104"/>
    <mergeCell ref="A105:B105"/>
    <mergeCell ref="C105:F105"/>
    <mergeCell ref="G105:H105"/>
    <mergeCell ref="K105:L105"/>
    <mergeCell ref="A106:B106"/>
    <mergeCell ref="C106:F106"/>
    <mergeCell ref="G106:H106"/>
    <mergeCell ref="K106:L106"/>
    <mergeCell ref="A107:B107"/>
    <mergeCell ref="C107:F107"/>
    <mergeCell ref="G107:H107"/>
    <mergeCell ref="K107:L107"/>
    <mergeCell ref="A108:B108"/>
    <mergeCell ref="C108:F108"/>
    <mergeCell ref="G108:H108"/>
    <mergeCell ref="K108:L108"/>
    <mergeCell ref="A109:B109"/>
    <mergeCell ref="C109:F109"/>
    <mergeCell ref="G109:H109"/>
    <mergeCell ref="K109:L109"/>
    <mergeCell ref="A112:L112"/>
    <mergeCell ref="A113:K113"/>
    <mergeCell ref="A114:K114"/>
    <mergeCell ref="A115:N115"/>
    <mergeCell ref="A116:B116"/>
    <mergeCell ref="C116:D116"/>
    <mergeCell ref="F116:G116"/>
    <mergeCell ref="A117:B117"/>
    <mergeCell ref="C117:D117"/>
    <mergeCell ref="G117:H117"/>
    <mergeCell ref="I117:J117"/>
    <mergeCell ref="M117:N117"/>
    <mergeCell ref="A118:C118"/>
    <mergeCell ref="F118:G118"/>
    <mergeCell ref="I118:J118"/>
    <mergeCell ref="M118:N118"/>
    <mergeCell ref="A119:B119"/>
    <mergeCell ref="C119:D119"/>
    <mergeCell ref="F119:G119"/>
    <mergeCell ref="I119:J119"/>
    <mergeCell ref="M119:N119"/>
    <mergeCell ref="A120:C120"/>
    <mergeCell ref="G120:H120"/>
    <mergeCell ref="I120:J120"/>
    <mergeCell ref="M120:N120"/>
    <mergeCell ref="A121:B121"/>
    <mergeCell ref="C121:D121"/>
    <mergeCell ref="F121:G121"/>
    <mergeCell ref="I121:J121"/>
    <mergeCell ref="M121:N121"/>
    <mergeCell ref="A122:C122"/>
    <mergeCell ref="F122:G122"/>
    <mergeCell ref="I122:J122"/>
    <mergeCell ref="M122:N122"/>
    <mergeCell ref="A123:B123"/>
    <mergeCell ref="C123:D123"/>
    <mergeCell ref="F123:G123"/>
    <mergeCell ref="I123:J123"/>
    <mergeCell ref="M123:N123"/>
    <mergeCell ref="A124:C124"/>
    <mergeCell ref="F124:G124"/>
    <mergeCell ref="I124:J124"/>
    <mergeCell ref="M124:N124"/>
    <mergeCell ref="A125:B125"/>
    <mergeCell ref="C125:D125"/>
    <mergeCell ref="G125:H125"/>
    <mergeCell ref="I125:J125"/>
    <mergeCell ref="M125:N125"/>
    <mergeCell ref="A126:G126"/>
    <mergeCell ref="I126:J126"/>
    <mergeCell ref="M126:N126"/>
    <mergeCell ref="A127:B127"/>
    <mergeCell ref="C127:D127"/>
    <mergeCell ref="G127:H127"/>
    <mergeCell ref="I127:J127"/>
    <mergeCell ref="M127:N127"/>
    <mergeCell ref="A128:C128"/>
    <mergeCell ref="G128:H128"/>
    <mergeCell ref="I128:J128"/>
    <mergeCell ref="M128:N128"/>
    <mergeCell ref="A129:C129"/>
    <mergeCell ref="G129:H129"/>
    <mergeCell ref="I129:J129"/>
    <mergeCell ref="M129:N129"/>
    <mergeCell ref="A130:K130"/>
    <mergeCell ref="M130:N130"/>
    <mergeCell ref="A131:B131"/>
    <mergeCell ref="C131:D131"/>
    <mergeCell ref="E131:G131"/>
    <mergeCell ref="H131:K131"/>
    <mergeCell ref="M131:N131"/>
    <mergeCell ref="A132:C132"/>
    <mergeCell ref="G132:H132"/>
    <mergeCell ref="M132:N132"/>
    <mergeCell ref="A133:F133"/>
    <mergeCell ref="H133:K133"/>
    <mergeCell ref="L133:N133"/>
    <mergeCell ref="A134:B134"/>
    <mergeCell ref="C134:D134"/>
    <mergeCell ref="E134:G134"/>
    <mergeCell ref="H134:K1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8" min="3" style="0" width="10"/>
    <col collapsed="false" customWidth="true" hidden="false" outlineLevel="0" max="9" min="9" style="0" width="13"/>
    <col collapsed="false" customWidth="true" hidden="false" outlineLevel="0" max="10" min="10" style="0" width="20"/>
  </cols>
  <sheetData>
    <row r="1" customFormat="false" ht="36" hidden="false" customHeight="true" outlineLevel="0" collapsed="false">
      <c r="A1" s="80" t="s">
        <v>441</v>
      </c>
      <c r="B1" s="80"/>
      <c r="C1" s="80"/>
      <c r="D1" s="80"/>
      <c r="E1" s="80"/>
      <c r="F1" s="80"/>
      <c r="G1" s="80"/>
      <c r="H1" s="80"/>
      <c r="I1" s="80"/>
      <c r="J1" s="80"/>
    </row>
    <row r="2" customFormat="false" ht="15" hidden="false" customHeight="true" outlineLevel="0" collapsed="false">
      <c r="A2" s="82" t="s">
        <v>442</v>
      </c>
      <c r="B2" s="82"/>
      <c r="C2" s="82"/>
      <c r="D2" s="82"/>
      <c r="E2" s="82"/>
      <c r="F2" s="82"/>
      <c r="G2" s="82"/>
      <c r="H2" s="82"/>
      <c r="I2" s="82"/>
      <c r="J2" s="82"/>
    </row>
    <row r="3" customFormat="false" ht="6" hidden="false" customHeight="true" outlineLevel="0" collapsed="false"/>
    <row r="4" customFormat="false" ht="15.75" hidden="false" customHeight="true" outlineLevel="0" collapsed="false">
      <c r="A4" s="175" t="s">
        <v>443</v>
      </c>
      <c r="B4" s="175"/>
      <c r="C4" s="175"/>
      <c r="D4" s="175"/>
      <c r="E4" s="175"/>
      <c r="F4" s="175"/>
      <c r="G4" s="175"/>
      <c r="H4" s="175"/>
      <c r="I4" s="175"/>
      <c r="J4" s="175"/>
    </row>
    <row r="5" customFormat="false" ht="27.75" hidden="false" customHeight="true" outlineLevel="0" collapsed="false">
      <c r="A5" s="176" t="s">
        <v>388</v>
      </c>
      <c r="B5" s="176" t="s">
        <v>444</v>
      </c>
      <c r="C5" s="176" t="s">
        <v>445</v>
      </c>
      <c r="D5" s="85" t="s">
        <v>446</v>
      </c>
      <c r="E5" s="176" t="s">
        <v>447</v>
      </c>
      <c r="F5" s="176" t="s">
        <v>448</v>
      </c>
      <c r="G5" s="176" t="s">
        <v>449</v>
      </c>
      <c r="H5" s="85" t="s">
        <v>450</v>
      </c>
      <c r="I5" s="85" t="s">
        <v>451</v>
      </c>
      <c r="J5" s="176" t="s">
        <v>134</v>
      </c>
    </row>
    <row r="6" customFormat="false" ht="13.5" hidden="false" customHeight="true" outlineLevel="0" collapsed="false">
      <c r="A6" s="177" t="s">
        <v>452</v>
      </c>
      <c r="B6" s="177" t="s">
        <v>453</v>
      </c>
      <c r="C6" s="178" t="n">
        <v>469.7</v>
      </c>
      <c r="D6" s="179" t="n">
        <v>2.6965</v>
      </c>
      <c r="E6" s="180" t="n">
        <v>1266.55</v>
      </c>
      <c r="F6" s="180" t="n">
        <v>94.74</v>
      </c>
      <c r="G6" s="180" t="n">
        <v>1361.29</v>
      </c>
      <c r="H6" s="177" t="s">
        <v>18</v>
      </c>
      <c r="I6" s="177" t="s">
        <v>18</v>
      </c>
      <c r="J6" s="181"/>
    </row>
    <row r="7" customFormat="false" ht="13.5" hidden="false" customHeight="true" outlineLevel="0" collapsed="false">
      <c r="A7" s="182" t="s">
        <v>454</v>
      </c>
      <c r="B7" s="182" t="s">
        <v>455</v>
      </c>
      <c r="C7" s="183" t="n">
        <v>439.9</v>
      </c>
      <c r="D7" s="184" t="n">
        <v>2.8545</v>
      </c>
      <c r="E7" s="185" t="n">
        <v>1255.7</v>
      </c>
      <c r="F7" s="185" t="n">
        <v>93.43</v>
      </c>
      <c r="G7" s="185" t="n">
        <v>1349.13</v>
      </c>
      <c r="H7" s="182" t="n">
        <v>11</v>
      </c>
      <c r="I7" s="182" t="n">
        <v>40</v>
      </c>
      <c r="J7" s="186"/>
    </row>
    <row r="8" customFormat="false" ht="13.5" hidden="false" customHeight="true" outlineLevel="0" collapsed="false">
      <c r="A8" s="177" t="s">
        <v>456</v>
      </c>
      <c r="B8" s="177" t="s">
        <v>457</v>
      </c>
      <c r="C8" s="178" t="n">
        <v>189.9</v>
      </c>
      <c r="D8" s="179" t="n">
        <v>3.057</v>
      </c>
      <c r="E8" s="180" t="n">
        <v>580.52</v>
      </c>
      <c r="F8" s="180" t="n">
        <v>42.93</v>
      </c>
      <c r="G8" s="180" t="n">
        <v>623.45</v>
      </c>
      <c r="H8" s="177" t="n">
        <v>4</v>
      </c>
      <c r="I8" s="177" t="n">
        <v>47.5</v>
      </c>
      <c r="J8" s="181"/>
    </row>
    <row r="9" customFormat="false" ht="13.5" hidden="false" customHeight="true" outlineLevel="0" collapsed="false">
      <c r="A9" s="182" t="s">
        <v>458</v>
      </c>
      <c r="B9" s="182" t="s">
        <v>459</v>
      </c>
      <c r="C9" s="183" t="n">
        <v>318.5</v>
      </c>
      <c r="D9" s="184" t="n">
        <v>3.0625</v>
      </c>
      <c r="E9" s="185" t="n">
        <v>975.41</v>
      </c>
      <c r="F9" s="185" t="n">
        <v>72.12</v>
      </c>
      <c r="G9" s="185" t="n">
        <v>1047.53</v>
      </c>
      <c r="H9" s="182" t="n">
        <v>7</v>
      </c>
      <c r="I9" s="182" t="n">
        <v>45.5</v>
      </c>
      <c r="J9" s="186"/>
    </row>
    <row r="10" customFormat="false" ht="13.5" hidden="false" customHeight="true" outlineLevel="0" collapsed="false">
      <c r="A10" s="177" t="s">
        <v>460</v>
      </c>
      <c r="B10" s="177" t="s">
        <v>461</v>
      </c>
      <c r="C10" s="178" t="n">
        <v>303.8</v>
      </c>
      <c r="D10" s="179" t="n">
        <v>3.4814</v>
      </c>
      <c r="E10" s="180" t="n">
        <v>1057.65</v>
      </c>
      <c r="F10" s="180" t="n">
        <v>77.38</v>
      </c>
      <c r="G10" s="180" t="n">
        <v>1135.03</v>
      </c>
      <c r="H10" s="177" t="n">
        <v>6</v>
      </c>
      <c r="I10" s="177" t="n">
        <v>50.6</v>
      </c>
      <c r="J10" s="181"/>
    </row>
    <row r="11" customFormat="false" ht="15.75" hidden="false" customHeight="true" outlineLevel="0" collapsed="false">
      <c r="A11" s="187" t="s">
        <v>462</v>
      </c>
      <c r="B11" s="187"/>
      <c r="C11" s="188" t="n">
        <v>1721.8</v>
      </c>
      <c r="D11" s="189" t="n">
        <v>2.9828</v>
      </c>
      <c r="E11" s="190" t="n">
        <v>5135.83</v>
      </c>
      <c r="F11" s="190" t="n">
        <v>380.6</v>
      </c>
      <c r="G11" s="190" t="n">
        <v>5516.43</v>
      </c>
      <c r="H11" s="187" t="s">
        <v>463</v>
      </c>
      <c r="I11" s="187"/>
      <c r="J11" s="187"/>
    </row>
    <row r="12" customFormat="false" ht="7.5" hidden="false" customHeight="true" outlineLevel="0" collapsed="false"/>
    <row r="13" customFormat="false" ht="15.75" hidden="false" customHeight="true" outlineLevel="0" collapsed="false">
      <c r="A13" s="175" t="s">
        <v>464</v>
      </c>
      <c r="B13" s="175"/>
      <c r="C13" s="175"/>
      <c r="D13" s="175"/>
      <c r="E13" s="175"/>
      <c r="F13" s="175"/>
      <c r="G13" s="175"/>
      <c r="H13" s="175"/>
      <c r="I13" s="175"/>
      <c r="J13" s="175"/>
    </row>
    <row r="14" customFormat="false" ht="15.75" hidden="false" customHeight="true" outlineLevel="0" collapsed="false">
      <c r="A14" s="176" t="s">
        <v>94</v>
      </c>
      <c r="B14" s="176" t="s">
        <v>445</v>
      </c>
      <c r="C14" s="176" t="s">
        <v>465</v>
      </c>
      <c r="D14" s="176" t="s">
        <v>466</v>
      </c>
      <c r="E14" s="176" t="s">
        <v>467</v>
      </c>
      <c r="F14" s="176" t="s">
        <v>134</v>
      </c>
    </row>
    <row r="15" customFormat="false" ht="13.5" hidden="false" customHeight="true" outlineLevel="0" collapsed="false">
      <c r="A15" s="181" t="s">
        <v>468</v>
      </c>
      <c r="B15" s="178" t="n">
        <v>61.5</v>
      </c>
      <c r="C15" s="180" t="n">
        <v>197.02</v>
      </c>
      <c r="D15" s="180" t="n">
        <v>183.42</v>
      </c>
      <c r="E15" s="179" t="n">
        <v>2.9828</v>
      </c>
      <c r="F15" s="181" t="s">
        <v>469</v>
      </c>
    </row>
    <row r="16" customFormat="false" ht="13.5" hidden="false" customHeight="true" outlineLevel="0" collapsed="false">
      <c r="A16" s="186" t="s">
        <v>470</v>
      </c>
      <c r="B16" s="183" t="n">
        <v>430.4</v>
      </c>
      <c r="C16" s="185" t="n">
        <v>1379.11</v>
      </c>
      <c r="D16" s="185" t="n">
        <v>1283.96</v>
      </c>
      <c r="E16" s="184" t="n">
        <v>2.9828</v>
      </c>
      <c r="F16" s="186" t="s">
        <v>471</v>
      </c>
    </row>
    <row r="17" customFormat="false" ht="13.5" hidden="false" customHeight="true" outlineLevel="0" collapsed="false">
      <c r="A17" s="191" t="s">
        <v>472</v>
      </c>
      <c r="B17" s="192" t="n">
        <v>1871.8</v>
      </c>
      <c r="C17" s="193" t="n">
        <v>5997.15</v>
      </c>
      <c r="D17" s="193" t="n">
        <v>5583.38</v>
      </c>
      <c r="E17" s="194" t="n">
        <v>2.9828</v>
      </c>
      <c r="F17" s="191" t="s">
        <v>473</v>
      </c>
    </row>
    <row r="18" customFormat="false" ht="7.5" hidden="false" customHeight="true" outlineLevel="0" collapsed="false"/>
    <row r="19" customFormat="false" ht="15.75" hidden="false" customHeight="true" outlineLevel="0" collapsed="false">
      <c r="A19" s="175" t="s">
        <v>474</v>
      </c>
      <c r="B19" s="175"/>
      <c r="C19" s="175"/>
      <c r="D19" s="175"/>
      <c r="E19" s="175"/>
      <c r="F19" s="175"/>
      <c r="G19" s="175"/>
      <c r="H19" s="175"/>
      <c r="I19" s="175"/>
      <c r="J19" s="175"/>
    </row>
    <row r="20" customFormat="false" ht="15.75" hidden="false" customHeight="true" outlineLevel="0" collapsed="false">
      <c r="A20" s="176" t="s">
        <v>444</v>
      </c>
      <c r="B20" s="176" t="s">
        <v>388</v>
      </c>
      <c r="C20" s="176" t="s">
        <v>475</v>
      </c>
      <c r="D20" s="176" t="s">
        <v>476</v>
      </c>
      <c r="E20" s="176" t="s">
        <v>477</v>
      </c>
    </row>
    <row r="21" customFormat="false" ht="13.5" hidden="false" customHeight="true" outlineLevel="0" collapsed="false">
      <c r="A21" s="177" t="s">
        <v>453</v>
      </c>
      <c r="B21" s="177" t="s">
        <v>452</v>
      </c>
      <c r="C21" s="195" t="n">
        <v>2.6965</v>
      </c>
      <c r="D21" s="177" t="s">
        <v>18</v>
      </c>
      <c r="E21" s="196" t="s">
        <v>18</v>
      </c>
    </row>
    <row r="22" customFormat="false" ht="13.5" hidden="false" customHeight="true" outlineLevel="0" collapsed="false">
      <c r="A22" s="182" t="s">
        <v>455</v>
      </c>
      <c r="B22" s="182" t="s">
        <v>454</v>
      </c>
      <c r="C22" s="197" t="n">
        <v>2.8545</v>
      </c>
      <c r="D22" s="198" t="s">
        <v>478</v>
      </c>
      <c r="E22" s="199" t="s">
        <v>479</v>
      </c>
    </row>
    <row r="23" customFormat="false" ht="13.5" hidden="false" customHeight="true" outlineLevel="0" collapsed="false">
      <c r="A23" s="177" t="s">
        <v>457</v>
      </c>
      <c r="B23" s="177" t="s">
        <v>456</v>
      </c>
      <c r="C23" s="195" t="n">
        <v>3.057</v>
      </c>
      <c r="D23" s="198" t="s">
        <v>480</v>
      </c>
      <c r="E23" s="199" t="s">
        <v>479</v>
      </c>
    </row>
    <row r="24" customFormat="false" ht="13.5" hidden="false" customHeight="true" outlineLevel="0" collapsed="false">
      <c r="A24" s="182" t="s">
        <v>459</v>
      </c>
      <c r="B24" s="182" t="s">
        <v>458</v>
      </c>
      <c r="C24" s="197" t="n">
        <v>3.0625</v>
      </c>
      <c r="D24" s="198" t="s">
        <v>481</v>
      </c>
      <c r="E24" s="199" t="s">
        <v>479</v>
      </c>
    </row>
    <row r="25" customFormat="false" ht="13.5" hidden="false" customHeight="true" outlineLevel="0" collapsed="false">
      <c r="A25" s="177" t="s">
        <v>461</v>
      </c>
      <c r="B25" s="177" t="s">
        <v>460</v>
      </c>
      <c r="C25" s="195" t="n">
        <v>3.4814</v>
      </c>
      <c r="D25" s="198" t="s">
        <v>482</v>
      </c>
      <c r="E25" s="199" t="s">
        <v>479</v>
      </c>
    </row>
    <row r="26" customFormat="false" ht="7.5" hidden="false" customHeight="true" outlineLevel="0" collapsed="false"/>
    <row r="27" customFormat="false" ht="15.75" hidden="false" customHeight="true" outlineLevel="0" collapsed="false">
      <c r="A27" s="200" t="s">
        <v>483</v>
      </c>
      <c r="B27" s="200"/>
      <c r="C27" s="200"/>
      <c r="D27" s="200"/>
      <c r="E27" s="200"/>
      <c r="F27" s="200"/>
      <c r="G27" s="200"/>
      <c r="H27" s="200"/>
      <c r="I27" s="200"/>
      <c r="J27" s="200"/>
    </row>
    <row r="28" customFormat="false" ht="15.75" hidden="false" customHeight="true" outlineLevel="0" collapsed="false">
      <c r="A28" s="201" t="s">
        <v>94</v>
      </c>
      <c r="B28" s="201" t="s">
        <v>484</v>
      </c>
      <c r="C28" s="201" t="s">
        <v>485</v>
      </c>
      <c r="D28" s="201" t="s">
        <v>486</v>
      </c>
      <c r="E28" s="201" t="s">
        <v>134</v>
      </c>
    </row>
    <row r="29" customFormat="false" ht="13.5" hidden="false" customHeight="true" outlineLevel="0" collapsed="false">
      <c r="A29" s="181" t="s">
        <v>468</v>
      </c>
      <c r="B29" s="178" t="n">
        <v>61.5</v>
      </c>
      <c r="C29" s="180" t="n">
        <v>214.11</v>
      </c>
      <c r="D29" s="180" t="n">
        <v>228.67</v>
      </c>
      <c r="E29" s="181" t="s">
        <v>487</v>
      </c>
    </row>
    <row r="30" customFormat="false" ht="13.5" hidden="false" customHeight="true" outlineLevel="0" collapsed="false">
      <c r="A30" s="186" t="s">
        <v>470</v>
      </c>
      <c r="B30" s="183" t="n">
        <v>430.4</v>
      </c>
      <c r="C30" s="185" t="n">
        <v>1498.39</v>
      </c>
      <c r="D30" s="185" t="n">
        <v>1600.29</v>
      </c>
      <c r="E30" s="186"/>
    </row>
    <row r="31" customFormat="false" ht="13.5" hidden="false" customHeight="true" outlineLevel="0" collapsed="false">
      <c r="A31" s="191" t="s">
        <v>472</v>
      </c>
      <c r="B31" s="192" t="n">
        <v>1871.8</v>
      </c>
      <c r="C31" s="193" t="n">
        <v>6516.48</v>
      </c>
      <c r="D31" s="193" t="n">
        <v>6959.61</v>
      </c>
      <c r="E31" s="191"/>
    </row>
    <row r="32" customFormat="false" ht="7.5" hidden="false" customHeight="true" outlineLevel="0" collapsed="false"/>
    <row r="33" customFormat="false" ht="15.75" hidden="false" customHeight="true" outlineLevel="0" collapsed="false">
      <c r="A33" s="175" t="s">
        <v>488</v>
      </c>
      <c r="B33" s="175"/>
      <c r="C33" s="175"/>
      <c r="D33" s="175"/>
      <c r="E33" s="175"/>
      <c r="F33" s="175"/>
      <c r="G33" s="175"/>
      <c r="H33" s="175"/>
      <c r="I33" s="175"/>
      <c r="J33" s="175"/>
    </row>
    <row r="34" customFormat="false" ht="15.75" hidden="false" customHeight="true" outlineLevel="0" collapsed="false">
      <c r="A34" s="176"/>
      <c r="B34" s="176" t="s">
        <v>489</v>
      </c>
      <c r="C34" s="176" t="s">
        <v>490</v>
      </c>
      <c r="D34" s="176" t="s">
        <v>491</v>
      </c>
      <c r="E34" s="176" t="s">
        <v>492</v>
      </c>
      <c r="F34" s="176" t="s">
        <v>493</v>
      </c>
      <c r="G34" s="176" t="s">
        <v>494</v>
      </c>
      <c r="H34" s="176" t="s">
        <v>495</v>
      </c>
      <c r="I34" s="176" t="s">
        <v>496</v>
      </c>
      <c r="J34" s="176"/>
    </row>
    <row r="35" customFormat="false" ht="13.5" hidden="false" customHeight="true" outlineLevel="0" collapsed="false">
      <c r="A35" s="202" t="s">
        <v>497</v>
      </c>
      <c r="B35" s="203" t="n">
        <v>2.563</v>
      </c>
      <c r="C35" s="204" t="n">
        <v>61.5</v>
      </c>
      <c r="D35" s="204" t="n">
        <v>430.4</v>
      </c>
      <c r="E35" s="204" t="n">
        <v>1871.8</v>
      </c>
      <c r="F35" s="205" t="n">
        <v>197.02</v>
      </c>
      <c r="G35" s="205" t="n">
        <v>1379.11</v>
      </c>
      <c r="H35" s="205" t="n">
        <v>5997.15</v>
      </c>
      <c r="I35" s="206" t="s">
        <v>498</v>
      </c>
      <c r="J35" s="206"/>
    </row>
    <row r="36" customFormat="false" ht="13.5" hidden="false" customHeight="true" outlineLevel="0" collapsed="false">
      <c r="A36" s="186" t="s">
        <v>499</v>
      </c>
      <c r="B36" s="207" t="n">
        <v>0.854</v>
      </c>
      <c r="C36" s="183" t="n">
        <v>20.5</v>
      </c>
      <c r="D36" s="183" t="n">
        <v>143.5</v>
      </c>
      <c r="E36" s="183" t="n">
        <v>624</v>
      </c>
      <c r="F36" s="185" t="n">
        <v>65.67</v>
      </c>
      <c r="G36" s="185" t="n">
        <v>459.7</v>
      </c>
      <c r="H36" s="185" t="n">
        <v>1999.05</v>
      </c>
      <c r="I36" s="182" t="s">
        <v>498</v>
      </c>
      <c r="J36" s="182"/>
    </row>
    <row r="37" customFormat="false" ht="13.5" hidden="false" customHeight="true" outlineLevel="0" collapsed="false">
      <c r="A37" s="181" t="s">
        <v>500</v>
      </c>
      <c r="B37" s="208" t="n">
        <v>0.854</v>
      </c>
      <c r="C37" s="178" t="n">
        <v>20.5</v>
      </c>
      <c r="D37" s="178" t="n">
        <v>143.5</v>
      </c>
      <c r="E37" s="178" t="n">
        <v>624</v>
      </c>
      <c r="F37" s="180" t="n">
        <v>71.37</v>
      </c>
      <c r="G37" s="180" t="n">
        <v>499.62</v>
      </c>
      <c r="H37" s="180" t="n">
        <v>2172.21</v>
      </c>
      <c r="I37" s="177" t="s">
        <v>501</v>
      </c>
      <c r="J37" s="177"/>
    </row>
  </sheetData>
  <mergeCells count="8">
    <mergeCell ref="A1:J1"/>
    <mergeCell ref="A2:J2"/>
    <mergeCell ref="A4:J4"/>
    <mergeCell ref="A11:B11"/>
    <mergeCell ref="A13:J13"/>
    <mergeCell ref="A19:J19"/>
    <mergeCell ref="A27:J27"/>
    <mergeCell ref="A33:J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10" min="3" style="0" width="9"/>
    <col collapsed="false" customWidth="true" hidden="false" outlineLevel="0" max="13" min="11" style="0" width="12"/>
  </cols>
  <sheetData>
    <row r="1" customFormat="false" ht="36" hidden="false" customHeight="true" outlineLevel="0" collapsed="false">
      <c r="A1" s="209" t="s">
        <v>502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</row>
    <row r="2" customFormat="false" ht="15.75" hidden="false" customHeight="true" outlineLevel="0" collapsed="false">
      <c r="A2" s="210" t="s">
        <v>503</v>
      </c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</row>
    <row r="3" customFormat="false" ht="6" hidden="false" customHeight="true" outlineLevel="0" collapsed="false"/>
    <row r="4" customFormat="false" ht="15.75" hidden="false" customHeight="true" outlineLevel="0" collapsed="false">
      <c r="A4" s="211" t="s">
        <v>504</v>
      </c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</row>
    <row r="5" customFormat="false" ht="27.75" hidden="false" customHeight="true" outlineLevel="0" collapsed="false">
      <c r="A5" s="85" t="s">
        <v>2</v>
      </c>
      <c r="B5" s="85" t="s">
        <v>505</v>
      </c>
      <c r="C5" s="212" t="s">
        <v>506</v>
      </c>
      <c r="D5" s="212"/>
      <c r="E5" s="212"/>
      <c r="F5" s="212" t="s">
        <v>507</v>
      </c>
      <c r="G5" s="212"/>
      <c r="H5" s="212" t="s">
        <v>508</v>
      </c>
      <c r="I5" s="212"/>
      <c r="J5" s="85" t="s">
        <v>509</v>
      </c>
      <c r="K5" s="212" t="s">
        <v>510</v>
      </c>
      <c r="L5" s="212"/>
      <c r="M5" s="85" t="s">
        <v>134</v>
      </c>
    </row>
    <row r="6" customFormat="false" ht="30" hidden="false" customHeight="true" outlineLevel="0" collapsed="false">
      <c r="A6" s="85" t="s">
        <v>2</v>
      </c>
      <c r="B6" s="85" t="s">
        <v>505</v>
      </c>
      <c r="C6" s="85" t="s">
        <v>511</v>
      </c>
      <c r="D6" s="85" t="s">
        <v>512</v>
      </c>
      <c r="E6" s="85" t="s">
        <v>513</v>
      </c>
      <c r="F6" s="85" t="s">
        <v>514</v>
      </c>
      <c r="G6" s="85" t="s">
        <v>515</v>
      </c>
      <c r="H6" s="85" t="s">
        <v>516</v>
      </c>
      <c r="I6" s="85" t="s">
        <v>517</v>
      </c>
      <c r="J6" s="85" t="s">
        <v>509</v>
      </c>
      <c r="K6" s="85" t="s">
        <v>518</v>
      </c>
      <c r="L6" s="85" t="s">
        <v>519</v>
      </c>
    </row>
    <row r="7" customFormat="false" ht="15" hidden="false" customHeight="true" outlineLevel="0" collapsed="false">
      <c r="A7" s="121" t="s">
        <v>17</v>
      </c>
      <c r="B7" s="122" t="n">
        <v>1</v>
      </c>
      <c r="C7" s="213" t="n">
        <v>0</v>
      </c>
      <c r="D7" s="213" t="n">
        <v>93</v>
      </c>
      <c r="E7" s="213" t="n">
        <v>93</v>
      </c>
      <c r="F7" s="122" t="s">
        <v>18</v>
      </c>
      <c r="G7" s="122" t="s">
        <v>18</v>
      </c>
      <c r="H7" s="172" t="s">
        <v>18</v>
      </c>
      <c r="I7" s="172" t="s">
        <v>18</v>
      </c>
      <c r="J7" s="213" t="s">
        <v>18</v>
      </c>
      <c r="K7" s="213" t="n">
        <v>93</v>
      </c>
      <c r="L7" s="122" t="s">
        <v>18</v>
      </c>
      <c r="M7" s="153" t="s">
        <v>520</v>
      </c>
    </row>
    <row r="8" customFormat="false" ht="15" hidden="false" customHeight="true" outlineLevel="0" collapsed="false">
      <c r="A8" s="117" t="s">
        <v>19</v>
      </c>
      <c r="B8" s="119" t="n">
        <v>1</v>
      </c>
      <c r="C8" s="214" t="n">
        <v>4.2</v>
      </c>
      <c r="D8" s="214" t="n">
        <v>93</v>
      </c>
      <c r="E8" s="214" t="n">
        <v>651</v>
      </c>
      <c r="F8" s="15" t="n">
        <v>0.006</v>
      </c>
      <c r="G8" s="15" t="n">
        <v>0.006</v>
      </c>
      <c r="H8" s="171" t="s">
        <v>18</v>
      </c>
      <c r="I8" s="171" t="s">
        <v>18</v>
      </c>
      <c r="J8" s="214" t="s">
        <v>18</v>
      </c>
      <c r="K8" s="214" t="n">
        <v>646.8</v>
      </c>
      <c r="L8" s="119" t="s">
        <v>18</v>
      </c>
      <c r="M8" s="152" t="s">
        <v>521</v>
      </c>
    </row>
    <row r="9" customFormat="false" ht="15" hidden="false" customHeight="true" outlineLevel="0" collapsed="false">
      <c r="A9" s="121" t="s">
        <v>20</v>
      </c>
      <c r="B9" s="122" t="n">
        <v>1</v>
      </c>
      <c r="C9" s="213" t="n">
        <v>0</v>
      </c>
      <c r="D9" s="213" t="n">
        <v>90</v>
      </c>
      <c r="E9" s="213" t="n">
        <v>630</v>
      </c>
      <c r="F9" s="122" t="s">
        <v>18</v>
      </c>
      <c r="G9" s="122" t="s">
        <v>18</v>
      </c>
      <c r="H9" s="172" t="s">
        <v>18</v>
      </c>
      <c r="I9" s="172" t="s">
        <v>18</v>
      </c>
      <c r="J9" s="213" t="s">
        <v>18</v>
      </c>
      <c r="K9" s="213" t="n">
        <v>630</v>
      </c>
      <c r="L9" s="122" t="s">
        <v>18</v>
      </c>
      <c r="M9" s="153" t="s">
        <v>522</v>
      </c>
    </row>
    <row r="10" customFormat="false" ht="15" hidden="false" customHeight="true" outlineLevel="0" collapsed="false">
      <c r="A10" s="117" t="s">
        <v>21</v>
      </c>
      <c r="B10" s="119" t="n">
        <v>2</v>
      </c>
      <c r="C10" s="214" t="n">
        <v>353.2</v>
      </c>
      <c r="D10" s="214" t="n">
        <v>93</v>
      </c>
      <c r="E10" s="214" t="n">
        <v>1302</v>
      </c>
      <c r="F10" s="23" t="n">
        <v>0.271</v>
      </c>
      <c r="G10" s="23" t="n">
        <v>0.271</v>
      </c>
      <c r="H10" s="164" t="n">
        <v>659.62</v>
      </c>
      <c r="I10" s="164" t="n">
        <v>178.96</v>
      </c>
      <c r="J10" s="214" t="n">
        <v>480.8</v>
      </c>
      <c r="K10" s="214" t="n">
        <v>948.8</v>
      </c>
      <c r="L10" s="215" t="n">
        <v>625814</v>
      </c>
      <c r="M10" s="152"/>
    </row>
    <row r="11" customFormat="false" ht="15" hidden="false" customHeight="true" outlineLevel="0" collapsed="false">
      <c r="A11" s="121" t="s">
        <v>22</v>
      </c>
      <c r="B11" s="122" t="n">
        <v>2</v>
      </c>
      <c r="C11" s="213" t="n">
        <v>729.8</v>
      </c>
      <c r="D11" s="213" t="n">
        <v>93</v>
      </c>
      <c r="E11" s="213" t="n">
        <v>1302</v>
      </c>
      <c r="F11" s="91" t="n">
        <v>0.49</v>
      </c>
      <c r="G11" s="91" t="n">
        <v>0.56</v>
      </c>
      <c r="H11" s="168" t="n">
        <v>389.2</v>
      </c>
      <c r="I11" s="168" t="n">
        <v>218.14</v>
      </c>
      <c r="J11" s="213" t="n">
        <v>401.1</v>
      </c>
      <c r="K11" s="213" t="n">
        <v>572.2</v>
      </c>
      <c r="L11" s="215" t="n">
        <v>222720</v>
      </c>
      <c r="M11" s="153" t="s">
        <v>523</v>
      </c>
    </row>
    <row r="12" customFormat="false" ht="15" hidden="false" customHeight="true" outlineLevel="0" collapsed="false">
      <c r="A12" s="117" t="s">
        <v>23</v>
      </c>
      <c r="B12" s="119" t="n">
        <v>2</v>
      </c>
      <c r="C12" s="214" t="n">
        <v>576.8</v>
      </c>
      <c r="D12" s="214" t="n">
        <v>90</v>
      </c>
      <c r="E12" s="214" t="n">
        <v>1260</v>
      </c>
      <c r="F12" s="91" t="n">
        <v>0.401</v>
      </c>
      <c r="G12" s="91" t="n">
        <v>0.458</v>
      </c>
      <c r="H12" s="164" t="n">
        <v>598.82</v>
      </c>
      <c r="I12" s="164" t="n">
        <v>274.11</v>
      </c>
      <c r="J12" s="214" t="n">
        <v>418.7</v>
      </c>
      <c r="K12" s="214" t="n">
        <v>683.2</v>
      </c>
      <c r="L12" s="215" t="n">
        <v>409134</v>
      </c>
      <c r="M12" s="152"/>
    </row>
    <row r="13" customFormat="false" ht="15" hidden="false" customHeight="true" outlineLevel="0" collapsed="false">
      <c r="A13" s="121" t="s">
        <v>24</v>
      </c>
      <c r="B13" s="122" t="n">
        <v>2</v>
      </c>
      <c r="C13" s="213" t="n">
        <v>517</v>
      </c>
      <c r="D13" s="213" t="n">
        <v>93</v>
      </c>
      <c r="E13" s="213" t="n">
        <v>1302</v>
      </c>
      <c r="F13" s="23" t="n">
        <v>0.347</v>
      </c>
      <c r="G13" s="23" t="n">
        <v>0.397</v>
      </c>
      <c r="H13" s="168" t="n">
        <v>448.53</v>
      </c>
      <c r="I13" s="168" t="n">
        <v>178.1</v>
      </c>
      <c r="J13" s="213" t="n">
        <v>426.6</v>
      </c>
      <c r="K13" s="213" t="n">
        <v>785</v>
      </c>
      <c r="L13" s="215" t="n">
        <v>352096</v>
      </c>
      <c r="M13" s="153"/>
    </row>
    <row r="14" customFormat="false" ht="15" hidden="false" customHeight="true" outlineLevel="0" collapsed="false">
      <c r="A14" s="117" t="s">
        <v>25</v>
      </c>
      <c r="B14" s="119" t="n">
        <v>2</v>
      </c>
      <c r="C14" s="214" t="n">
        <v>414.4</v>
      </c>
      <c r="D14" s="214" t="n">
        <v>90</v>
      </c>
      <c r="E14" s="214" t="n">
        <v>1260</v>
      </c>
      <c r="F14" s="23" t="n">
        <v>0.288</v>
      </c>
      <c r="G14" s="23" t="n">
        <v>0.329</v>
      </c>
      <c r="H14" s="164" t="n">
        <v>528.7</v>
      </c>
      <c r="I14" s="164" t="n">
        <v>173.88</v>
      </c>
      <c r="J14" s="214" t="n">
        <v>425.9</v>
      </c>
      <c r="K14" s="214" t="n">
        <v>845.6</v>
      </c>
      <c r="L14" s="215" t="n">
        <v>447078</v>
      </c>
      <c r="M14" s="152"/>
    </row>
    <row r="15" customFormat="false" ht="15" hidden="false" customHeight="true" outlineLevel="0" collapsed="false">
      <c r="A15" s="121" t="s">
        <v>26</v>
      </c>
      <c r="B15" s="122" t="n">
        <v>2</v>
      </c>
      <c r="C15" s="213" t="n">
        <v>434.1</v>
      </c>
      <c r="D15" s="213" t="n">
        <v>93</v>
      </c>
      <c r="E15" s="213" t="n">
        <v>1302</v>
      </c>
      <c r="F15" s="23" t="n">
        <v>0.292</v>
      </c>
      <c r="G15" s="23" t="n">
        <v>0.333</v>
      </c>
      <c r="H15" s="168" t="n">
        <v>611.41</v>
      </c>
      <c r="I15" s="168" t="n">
        <v>203.85</v>
      </c>
      <c r="J15" s="213" t="n">
        <v>451.1</v>
      </c>
      <c r="K15" s="213" t="n">
        <v>867.9</v>
      </c>
      <c r="L15" s="215" t="n">
        <v>530643</v>
      </c>
      <c r="M15" s="153" t="s">
        <v>524</v>
      </c>
    </row>
    <row r="16" customFormat="false" ht="15" hidden="false" customHeight="true" outlineLevel="0" collapsed="false">
      <c r="A16" s="117" t="s">
        <v>27</v>
      </c>
      <c r="B16" s="119" t="n">
        <v>3</v>
      </c>
      <c r="C16" s="214" t="n">
        <v>615.4</v>
      </c>
      <c r="D16" s="214" t="n">
        <v>93</v>
      </c>
      <c r="E16" s="214" t="n">
        <v>1953</v>
      </c>
      <c r="F16" s="23" t="n">
        <v>0.276</v>
      </c>
      <c r="G16" s="23" t="n">
        <v>0.315</v>
      </c>
      <c r="H16" s="164" t="n">
        <v>500.31</v>
      </c>
      <c r="I16" s="164" t="n">
        <v>157.66</v>
      </c>
      <c r="J16" s="214" t="n">
        <v>500.5</v>
      </c>
      <c r="K16" s="214" t="n">
        <v>1337.6</v>
      </c>
      <c r="L16" s="215" t="n">
        <v>669198</v>
      </c>
      <c r="M16" s="152" t="s">
        <v>525</v>
      </c>
    </row>
    <row r="17" customFormat="false" ht="15" hidden="false" customHeight="true" outlineLevel="0" collapsed="false">
      <c r="A17" s="121" t="s">
        <v>28</v>
      </c>
      <c r="B17" s="122" t="n">
        <v>3</v>
      </c>
      <c r="C17" s="213" t="n">
        <v>775.2</v>
      </c>
      <c r="D17" s="213" t="n">
        <v>84</v>
      </c>
      <c r="E17" s="213" t="n">
        <v>1764</v>
      </c>
      <c r="F17" s="23" t="n">
        <v>0.385</v>
      </c>
      <c r="G17" s="91" t="n">
        <v>0.439</v>
      </c>
      <c r="H17" s="168" t="n">
        <v>444.72</v>
      </c>
      <c r="I17" s="168" t="n">
        <v>195.44</v>
      </c>
      <c r="J17" s="213" t="n">
        <v>404.5</v>
      </c>
      <c r="K17" s="213" t="n">
        <v>988.8</v>
      </c>
      <c r="L17" s="215" t="n">
        <v>439724</v>
      </c>
      <c r="M17" s="153"/>
    </row>
    <row r="18" customFormat="false" ht="15" hidden="false" customHeight="true" outlineLevel="0" collapsed="false">
      <c r="A18" s="117" t="s">
        <v>29</v>
      </c>
      <c r="B18" s="119" t="n">
        <v>3</v>
      </c>
      <c r="C18" s="214" t="n">
        <v>391.5</v>
      </c>
      <c r="D18" s="214" t="n">
        <v>93</v>
      </c>
      <c r="E18" s="214" t="n">
        <v>1953</v>
      </c>
      <c r="F18" s="15" t="n">
        <v>0.175</v>
      </c>
      <c r="G18" s="15" t="n">
        <v>0.2</v>
      </c>
      <c r="H18" s="164" t="n">
        <v>928.45</v>
      </c>
      <c r="I18" s="164" t="n">
        <v>186.11</v>
      </c>
      <c r="J18" s="214" t="n">
        <v>842</v>
      </c>
      <c r="K18" s="214" t="n">
        <v>1561.5</v>
      </c>
      <c r="L18" s="119" t="s">
        <v>18</v>
      </c>
      <c r="M18" s="152" t="s">
        <v>526</v>
      </c>
    </row>
    <row r="19" customFormat="false" ht="7.5" hidden="false" customHeight="true" outlineLevel="0" collapsed="false"/>
    <row r="20" customFormat="false" ht="15.75" hidden="false" customHeight="true" outlineLevel="0" collapsed="false">
      <c r="A20" s="130" t="s">
        <v>527</v>
      </c>
      <c r="B20" s="130"/>
      <c r="C20" s="216" t="n">
        <v>585.2</v>
      </c>
      <c r="D20" s="216" t="n">
        <v>91.9</v>
      </c>
      <c r="E20" s="216" t="n">
        <v>1460.9</v>
      </c>
      <c r="F20" s="40" t="n">
        <v>0.344</v>
      </c>
      <c r="G20" s="40" t="n">
        <v>0.388</v>
      </c>
      <c r="H20" s="217" t="n">
        <v>522.66</v>
      </c>
      <c r="I20" s="217" t="n">
        <v>197.52</v>
      </c>
      <c r="J20" s="216" t="n">
        <v>438.7</v>
      </c>
      <c r="K20" s="216" t="n">
        <v>878.4</v>
      </c>
      <c r="L20" s="218" t="n">
        <v>3696407</v>
      </c>
      <c r="M20" s="41" t="s">
        <v>528</v>
      </c>
    </row>
    <row r="21" customFormat="false" ht="7.5" hidden="false" customHeight="true" outlineLevel="0" collapsed="false"/>
    <row r="22" customFormat="false" ht="15.75" hidden="false" customHeight="true" outlineLevel="0" collapsed="false">
      <c r="A22" s="211" t="s">
        <v>529</v>
      </c>
      <c r="B22" s="211"/>
      <c r="C22" s="211"/>
      <c r="D22" s="211"/>
      <c r="E22" s="211"/>
      <c r="F22" s="211"/>
      <c r="G22" s="211"/>
      <c r="H22" s="211"/>
      <c r="I22" s="211"/>
      <c r="J22" s="211"/>
      <c r="K22" s="211"/>
      <c r="L22" s="211"/>
      <c r="M22" s="211"/>
    </row>
    <row r="23" customFormat="false" ht="15.75" hidden="false" customHeight="true" outlineLevel="0" collapsed="false">
      <c r="A23" s="85" t="s">
        <v>530</v>
      </c>
      <c r="B23" s="85" t="s">
        <v>531</v>
      </c>
      <c r="C23" s="219" t="s">
        <v>532</v>
      </c>
      <c r="D23" s="219"/>
      <c r="E23" s="219"/>
      <c r="F23" s="219"/>
      <c r="G23" s="219"/>
      <c r="H23" s="219"/>
      <c r="I23" s="219"/>
      <c r="J23" s="219"/>
      <c r="K23" s="219"/>
      <c r="L23" s="219"/>
      <c r="M23" s="219"/>
    </row>
    <row r="24" customFormat="false" ht="18" hidden="false" customHeight="true" outlineLevel="0" collapsed="false">
      <c r="A24" s="117" t="s">
        <v>533</v>
      </c>
      <c r="B24" s="137" t="s">
        <v>534</v>
      </c>
      <c r="C24" s="220" t="s">
        <v>535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0"/>
    </row>
    <row r="25" customFormat="false" ht="18" hidden="false" customHeight="true" outlineLevel="0" collapsed="false">
      <c r="A25" s="121" t="s">
        <v>536</v>
      </c>
      <c r="B25" s="137" t="s">
        <v>537</v>
      </c>
      <c r="C25" s="221" t="s">
        <v>538</v>
      </c>
      <c r="D25" s="221"/>
      <c r="E25" s="221"/>
      <c r="F25" s="221"/>
      <c r="G25" s="221"/>
      <c r="H25" s="221"/>
      <c r="I25" s="221"/>
      <c r="J25" s="221"/>
      <c r="K25" s="221"/>
      <c r="L25" s="221"/>
      <c r="M25" s="221"/>
    </row>
    <row r="26" customFormat="false" ht="18" hidden="false" customHeight="true" outlineLevel="0" collapsed="false">
      <c r="A26" s="117" t="s">
        <v>539</v>
      </c>
      <c r="B26" s="137" t="s">
        <v>540</v>
      </c>
      <c r="C26" s="220" t="s">
        <v>541</v>
      </c>
      <c r="D26" s="220"/>
      <c r="E26" s="220"/>
      <c r="F26" s="220"/>
      <c r="G26" s="220"/>
      <c r="H26" s="220"/>
      <c r="I26" s="220"/>
      <c r="J26" s="220"/>
      <c r="K26" s="220"/>
      <c r="L26" s="220"/>
      <c r="M26" s="220"/>
    </row>
    <row r="27" customFormat="false" ht="18" hidden="false" customHeight="true" outlineLevel="0" collapsed="false">
      <c r="A27" s="121" t="s">
        <v>542</v>
      </c>
      <c r="B27" s="137" t="s">
        <v>543</v>
      </c>
      <c r="C27" s="221" t="s">
        <v>544</v>
      </c>
      <c r="D27" s="221"/>
      <c r="E27" s="221"/>
      <c r="F27" s="221"/>
      <c r="G27" s="221"/>
      <c r="H27" s="221"/>
      <c r="I27" s="221"/>
      <c r="J27" s="221"/>
      <c r="K27" s="221"/>
      <c r="L27" s="221"/>
      <c r="M27" s="221"/>
    </row>
    <row r="28" customFormat="false" ht="18" hidden="false" customHeight="true" outlineLevel="0" collapsed="false">
      <c r="A28" s="117" t="s">
        <v>545</v>
      </c>
      <c r="B28" s="137" t="s">
        <v>546</v>
      </c>
      <c r="C28" s="220" t="s">
        <v>547</v>
      </c>
      <c r="D28" s="220"/>
      <c r="E28" s="220"/>
      <c r="F28" s="220"/>
      <c r="G28" s="220"/>
      <c r="H28" s="220"/>
      <c r="I28" s="220"/>
      <c r="J28" s="220"/>
      <c r="K28" s="220"/>
      <c r="L28" s="220"/>
      <c r="M28" s="220"/>
    </row>
    <row r="29" customFormat="false" ht="18" hidden="false" customHeight="true" outlineLevel="0" collapsed="false">
      <c r="A29" s="121" t="s">
        <v>548</v>
      </c>
      <c r="B29" s="137" t="s">
        <v>549</v>
      </c>
      <c r="C29" s="221" t="s">
        <v>550</v>
      </c>
      <c r="D29" s="221"/>
      <c r="E29" s="221"/>
      <c r="F29" s="221"/>
      <c r="G29" s="221"/>
      <c r="H29" s="221"/>
      <c r="I29" s="221"/>
      <c r="J29" s="221"/>
      <c r="K29" s="221"/>
      <c r="L29" s="221"/>
      <c r="M29" s="221"/>
    </row>
    <row r="30" customFormat="false" ht="7.5" hidden="false" customHeight="true" outlineLevel="0" collapsed="false"/>
    <row r="31" customFormat="false" ht="7.5" hidden="false" customHeight="true" outlineLevel="0" collapsed="false"/>
    <row r="32" customFormat="false" ht="15.75" hidden="false" customHeight="true" outlineLevel="0" collapsed="false">
      <c r="A32" s="211" t="s">
        <v>551</v>
      </c>
      <c r="B32" s="211"/>
      <c r="C32" s="211"/>
      <c r="D32" s="211"/>
      <c r="E32" s="211"/>
      <c r="F32" s="211"/>
      <c r="G32" s="211"/>
      <c r="H32" s="211"/>
      <c r="I32" s="211"/>
      <c r="J32" s="211"/>
      <c r="K32" s="211"/>
      <c r="L32" s="211"/>
      <c r="M32" s="211"/>
    </row>
    <row r="33" customFormat="false" ht="19.5" hidden="false" customHeight="true" outlineLevel="0" collapsed="false">
      <c r="A33" s="210" t="s">
        <v>552</v>
      </c>
      <c r="B33" s="210"/>
      <c r="C33" s="210"/>
      <c r="D33" s="210"/>
      <c r="E33" s="210"/>
      <c r="F33" s="210"/>
      <c r="G33" s="210"/>
      <c r="H33" s="210"/>
      <c r="I33" s="210"/>
      <c r="J33" s="210"/>
      <c r="K33" s="210"/>
      <c r="L33" s="210"/>
      <c r="M33" s="210"/>
    </row>
    <row r="34" customFormat="false" ht="6" hidden="false" customHeight="true" outlineLevel="0" collapsed="false"/>
    <row r="35" customFormat="false" ht="15.75" hidden="false" customHeight="true" outlineLevel="0" collapsed="false">
      <c r="A35" s="211" t="s">
        <v>553</v>
      </c>
      <c r="B35" s="211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</row>
    <row r="36" customFormat="false" ht="15.75" hidden="false" customHeight="true" outlineLevel="0" collapsed="false">
      <c r="A36" s="219" t="s">
        <v>554</v>
      </c>
      <c r="B36" s="219"/>
      <c r="C36" s="219"/>
      <c r="D36" s="219"/>
      <c r="E36" s="219"/>
      <c r="F36" s="219"/>
      <c r="G36" s="85" t="s">
        <v>555</v>
      </c>
      <c r="H36" s="212" t="s">
        <v>134</v>
      </c>
      <c r="I36" s="212"/>
      <c r="J36" s="212"/>
      <c r="K36" s="212"/>
      <c r="L36" s="212"/>
      <c r="M36" s="212"/>
    </row>
    <row r="37" customFormat="false" ht="15" hidden="false" customHeight="true" outlineLevel="0" collapsed="false">
      <c r="A37" s="222" t="s">
        <v>556</v>
      </c>
      <c r="B37" s="222"/>
      <c r="C37" s="222"/>
      <c r="D37" s="222"/>
      <c r="E37" s="222"/>
      <c r="F37" s="222"/>
      <c r="G37" s="122" t="n">
        <v>28.7</v>
      </c>
      <c r="H37" s="222" t="s">
        <v>557</v>
      </c>
      <c r="I37" s="222"/>
      <c r="J37" s="222"/>
      <c r="K37" s="222"/>
      <c r="L37" s="222"/>
      <c r="M37" s="222"/>
    </row>
    <row r="38" customFormat="false" ht="15" hidden="false" customHeight="true" outlineLevel="0" collapsed="false">
      <c r="A38" s="223" t="s">
        <v>558</v>
      </c>
      <c r="B38" s="223"/>
      <c r="C38" s="223"/>
      <c r="D38" s="223"/>
      <c r="E38" s="223"/>
      <c r="F38" s="223"/>
      <c r="G38" s="119" t="n">
        <v>33</v>
      </c>
      <c r="H38" s="223" t="s">
        <v>559</v>
      </c>
      <c r="I38" s="223"/>
      <c r="J38" s="223"/>
      <c r="K38" s="223"/>
      <c r="L38" s="223"/>
      <c r="M38" s="223"/>
    </row>
    <row r="39" customFormat="false" ht="15" hidden="false" customHeight="true" outlineLevel="0" collapsed="false">
      <c r="A39" s="222" t="s">
        <v>560</v>
      </c>
      <c r="B39" s="222"/>
      <c r="C39" s="222"/>
      <c r="D39" s="222"/>
      <c r="E39" s="222"/>
      <c r="F39" s="222"/>
      <c r="G39" s="122" t="n">
        <v>4.3</v>
      </c>
      <c r="H39" s="222" t="s">
        <v>561</v>
      </c>
      <c r="I39" s="222"/>
      <c r="J39" s="222"/>
      <c r="K39" s="222"/>
      <c r="L39" s="222"/>
      <c r="M39" s="222"/>
    </row>
    <row r="40" customFormat="false" ht="15" hidden="false" customHeight="true" outlineLevel="0" collapsed="false">
      <c r="A40" s="223" t="s">
        <v>562</v>
      </c>
      <c r="B40" s="223"/>
      <c r="C40" s="223"/>
      <c r="D40" s="223"/>
      <c r="E40" s="223"/>
      <c r="F40" s="223"/>
      <c r="G40" s="119" t="s">
        <v>563</v>
      </c>
      <c r="H40" s="223" t="s">
        <v>564</v>
      </c>
      <c r="I40" s="223"/>
      <c r="J40" s="223"/>
      <c r="K40" s="223"/>
      <c r="L40" s="223"/>
      <c r="M40" s="223"/>
    </row>
    <row r="41" customFormat="false" ht="15" hidden="false" customHeight="true" outlineLevel="0" collapsed="false">
      <c r="A41" s="222" t="s">
        <v>565</v>
      </c>
      <c r="B41" s="222"/>
      <c r="C41" s="222"/>
      <c r="D41" s="222"/>
      <c r="E41" s="222"/>
      <c r="F41" s="222"/>
      <c r="G41" s="122" t="n">
        <v>29.8</v>
      </c>
      <c r="H41" s="222" t="s">
        <v>566</v>
      </c>
      <c r="I41" s="222"/>
      <c r="J41" s="222"/>
      <c r="K41" s="222"/>
      <c r="L41" s="222"/>
      <c r="M41" s="222"/>
    </row>
    <row r="42" customFormat="false" ht="15" hidden="false" customHeight="true" outlineLevel="0" collapsed="false">
      <c r="A42" s="223" t="s">
        <v>567</v>
      </c>
      <c r="B42" s="223"/>
      <c r="C42" s="223"/>
      <c r="D42" s="223"/>
      <c r="E42" s="223"/>
      <c r="F42" s="223"/>
      <c r="G42" s="119" t="n">
        <v>5</v>
      </c>
      <c r="H42" s="223" t="s">
        <v>568</v>
      </c>
      <c r="I42" s="223"/>
      <c r="J42" s="223"/>
      <c r="K42" s="223"/>
      <c r="L42" s="223"/>
      <c r="M42" s="223"/>
    </row>
    <row r="43" customFormat="false" ht="15" hidden="false" customHeight="true" outlineLevel="0" collapsed="false">
      <c r="A43" s="224" t="s">
        <v>569</v>
      </c>
      <c r="B43" s="224"/>
      <c r="C43" s="224"/>
      <c r="D43" s="224"/>
      <c r="E43" s="224"/>
      <c r="F43" s="224"/>
      <c r="G43" s="225" t="n">
        <v>34.8</v>
      </c>
      <c r="H43" s="226" t="s">
        <v>570</v>
      </c>
      <c r="I43" s="226"/>
      <c r="J43" s="226"/>
      <c r="K43" s="226"/>
      <c r="L43" s="226"/>
      <c r="M43" s="226"/>
    </row>
    <row r="44" customFormat="false" ht="7.5" hidden="false" customHeight="true" outlineLevel="0" collapsed="false"/>
    <row r="45" customFormat="false" ht="6" hidden="false" customHeight="true" outlineLevel="0" collapsed="false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</row>
    <row r="46" customFormat="false" ht="15.75" hidden="false" customHeight="true" outlineLevel="0" collapsed="false">
      <c r="A46" s="116" t="s">
        <v>571</v>
      </c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</row>
    <row r="47" customFormat="false" ht="30" hidden="false" customHeight="true" outlineLevel="0" collapsed="false">
      <c r="A47" s="4" t="s">
        <v>530</v>
      </c>
      <c r="B47" s="4"/>
      <c r="C47" s="227" t="s">
        <v>572</v>
      </c>
      <c r="D47" s="227"/>
      <c r="E47" s="228" t="s">
        <v>573</v>
      </c>
      <c r="F47" s="228"/>
      <c r="G47" s="229" t="s">
        <v>574</v>
      </c>
      <c r="H47" s="229"/>
      <c r="I47" s="41" t="s">
        <v>575</v>
      </c>
      <c r="J47" s="41" t="s">
        <v>576</v>
      </c>
      <c r="K47" s="129" t="s">
        <v>577</v>
      </c>
      <c r="L47" s="129" t="s">
        <v>576</v>
      </c>
      <c r="M47" s="230" t="s">
        <v>578</v>
      </c>
    </row>
    <row r="48" customFormat="false" ht="15.75" hidden="false" customHeight="true" outlineLevel="0" collapsed="false">
      <c r="A48" s="231" t="s">
        <v>579</v>
      </c>
      <c r="B48" s="231"/>
      <c r="C48" s="232" t="n">
        <v>109</v>
      </c>
      <c r="D48" s="232"/>
      <c r="E48" s="233" t="n">
        <v>71</v>
      </c>
      <c r="F48" s="233"/>
      <c r="G48" s="234" t="n">
        <v>93</v>
      </c>
      <c r="H48" s="234"/>
      <c r="I48" s="235" t="n">
        <v>57.1</v>
      </c>
      <c r="J48" s="91" t="n">
        <v>0.803</v>
      </c>
      <c r="K48" s="236" t="s">
        <v>580</v>
      </c>
      <c r="L48" s="23" t="n">
        <v>1.07</v>
      </c>
      <c r="M48" s="237" t="s">
        <v>581</v>
      </c>
    </row>
    <row r="49" customFormat="false" ht="15.75" hidden="false" customHeight="true" outlineLevel="0" collapsed="false">
      <c r="A49" s="238" t="s">
        <v>582</v>
      </c>
      <c r="B49" s="238"/>
      <c r="C49" s="239" t="n">
        <v>22786</v>
      </c>
      <c r="D49" s="239"/>
      <c r="E49" s="240" t="n">
        <v>15000</v>
      </c>
      <c r="F49" s="240"/>
      <c r="G49" s="241" t="n">
        <v>19533</v>
      </c>
      <c r="H49" s="241"/>
      <c r="I49" s="242" t="n">
        <v>11200</v>
      </c>
      <c r="J49" s="91" t="n">
        <v>0.747</v>
      </c>
      <c r="K49" s="243" t="n">
        <v>16036</v>
      </c>
      <c r="L49" s="15" t="n">
        <v>1.069</v>
      </c>
      <c r="M49" s="158" t="s">
        <v>583</v>
      </c>
    </row>
    <row r="50" customFormat="false" ht="15.75" hidden="false" customHeight="true" outlineLevel="0" collapsed="false">
      <c r="A50" s="231" t="s">
        <v>584</v>
      </c>
      <c r="B50" s="231"/>
      <c r="C50" s="239" t="n">
        <v>706353</v>
      </c>
      <c r="D50" s="239"/>
      <c r="E50" s="240" t="n">
        <v>465000</v>
      </c>
      <c r="F50" s="240"/>
      <c r="G50" s="241" t="n">
        <v>605523</v>
      </c>
      <c r="H50" s="241"/>
      <c r="I50" s="244" t="n">
        <v>313600</v>
      </c>
      <c r="J50" s="23" t="n">
        <v>0.674</v>
      </c>
      <c r="K50" s="245" t="s">
        <v>18</v>
      </c>
      <c r="L50" s="245" t="s">
        <v>18</v>
      </c>
      <c r="M50" s="152" t="s">
        <v>585</v>
      </c>
    </row>
    <row r="51" customFormat="false" ht="15.75" hidden="false" customHeight="true" outlineLevel="0" collapsed="false">
      <c r="A51" s="238" t="s">
        <v>586</v>
      </c>
      <c r="B51" s="238"/>
      <c r="C51" s="239" t="n">
        <v>63</v>
      </c>
      <c r="D51" s="239"/>
      <c r="E51" s="246" t="s">
        <v>18</v>
      </c>
      <c r="F51" s="246"/>
      <c r="G51" s="247" t="s">
        <v>18</v>
      </c>
      <c r="H51" s="247"/>
      <c r="I51" s="242" t="n">
        <v>27.7</v>
      </c>
      <c r="J51" s="143" t="s">
        <v>18</v>
      </c>
      <c r="K51" s="248" t="n">
        <v>52.3</v>
      </c>
      <c r="L51" s="143" t="s">
        <v>18</v>
      </c>
      <c r="M51" s="153" t="s">
        <v>587</v>
      </c>
    </row>
    <row r="52" customFormat="false" ht="15.75" hidden="false" customHeight="true" outlineLevel="0" collapsed="false">
      <c r="A52" s="231" t="s">
        <v>588</v>
      </c>
      <c r="B52" s="231"/>
      <c r="C52" s="249" t="n">
        <v>20840</v>
      </c>
      <c r="D52" s="249"/>
      <c r="E52" s="250" t="n">
        <v>15000</v>
      </c>
      <c r="F52" s="250"/>
      <c r="G52" s="251" t="n">
        <v>18400</v>
      </c>
      <c r="H52" s="251"/>
      <c r="I52" s="252" t="n">
        <v>12150</v>
      </c>
      <c r="J52" s="245" t="s">
        <v>18</v>
      </c>
      <c r="K52" s="253" t="n">
        <v>15777</v>
      </c>
      <c r="L52" s="245" t="s">
        <v>18</v>
      </c>
      <c r="M52" s="152" t="s">
        <v>589</v>
      </c>
    </row>
    <row r="53" customFormat="false" ht="15.75" hidden="false" customHeight="true" outlineLevel="0" collapsed="false">
      <c r="A53" s="238" t="s">
        <v>590</v>
      </c>
      <c r="B53" s="238"/>
      <c r="C53" s="249" t="n">
        <v>646024</v>
      </c>
      <c r="D53" s="249"/>
      <c r="E53" s="250" t="n">
        <v>465000</v>
      </c>
      <c r="F53" s="250"/>
      <c r="G53" s="251" t="n">
        <v>570392</v>
      </c>
      <c r="H53" s="251"/>
      <c r="I53" s="254" t="n">
        <v>376650</v>
      </c>
      <c r="J53" s="143" t="s">
        <v>18</v>
      </c>
      <c r="K53" s="143" t="s">
        <v>18</v>
      </c>
      <c r="L53" s="143" t="s">
        <v>18</v>
      </c>
      <c r="M53" s="153" t="s">
        <v>591</v>
      </c>
    </row>
    <row r="54" customFormat="false" ht="7.5" hidden="false" customHeight="true" outlineLevel="0" collapsed="false"/>
    <row r="55" customFormat="false" ht="15.75" hidden="false" customHeight="true" outlineLevel="0" collapsed="false">
      <c r="A55" s="255" t="s">
        <v>592</v>
      </c>
      <c r="B55" s="255"/>
      <c r="C55" s="255"/>
      <c r="D55" s="255"/>
      <c r="E55" s="255"/>
      <c r="F55" s="255"/>
      <c r="G55" s="255"/>
      <c r="H55" s="255"/>
      <c r="I55" s="255"/>
      <c r="J55" s="255"/>
      <c r="K55" s="255"/>
      <c r="L55" s="255"/>
      <c r="M55" s="255"/>
    </row>
    <row r="56" customFormat="false" ht="24" hidden="false" customHeight="true" outlineLevel="0" collapsed="false">
      <c r="A56" s="84" t="s">
        <v>530</v>
      </c>
      <c r="B56" s="84"/>
      <c r="C56" s="84"/>
      <c r="D56" s="84" t="s">
        <v>593</v>
      </c>
      <c r="E56" s="84"/>
      <c r="F56" s="84" t="s">
        <v>594</v>
      </c>
      <c r="G56" s="84"/>
      <c r="H56" s="84" t="s">
        <v>595</v>
      </c>
      <c r="I56" s="84"/>
      <c r="J56" s="84" t="s">
        <v>596</v>
      </c>
      <c r="K56" s="84"/>
      <c r="L56" s="84" t="s">
        <v>134</v>
      </c>
      <c r="M56" s="84"/>
    </row>
    <row r="57" customFormat="false" ht="15" hidden="false" customHeight="true" outlineLevel="0" collapsed="false">
      <c r="A57" s="256" t="s">
        <v>597</v>
      </c>
      <c r="B57" s="256"/>
      <c r="C57" s="256"/>
      <c r="D57" s="257" t="s">
        <v>598</v>
      </c>
      <c r="E57" s="257"/>
      <c r="F57" s="258" t="s">
        <v>599</v>
      </c>
      <c r="G57" s="258"/>
      <c r="H57" s="137" t="s">
        <v>600</v>
      </c>
      <c r="I57" s="137"/>
      <c r="J57" s="245" t="s">
        <v>18</v>
      </c>
      <c r="K57" s="245"/>
      <c r="L57" s="152" t="s">
        <v>601</v>
      </c>
      <c r="M57" s="152"/>
    </row>
    <row r="58" customFormat="false" ht="15" hidden="false" customHeight="true" outlineLevel="0" collapsed="false">
      <c r="A58" s="259" t="s">
        <v>602</v>
      </c>
      <c r="B58" s="259"/>
      <c r="C58" s="259"/>
      <c r="D58" s="257" t="s">
        <v>603</v>
      </c>
      <c r="E58" s="257"/>
      <c r="F58" s="258" t="s">
        <v>604</v>
      </c>
      <c r="G58" s="258"/>
      <c r="H58" s="129" t="s">
        <v>605</v>
      </c>
      <c r="I58" s="129"/>
      <c r="J58" s="143" t="s">
        <v>18</v>
      </c>
      <c r="K58" s="143"/>
      <c r="L58" s="153" t="s">
        <v>606</v>
      </c>
      <c r="M58" s="153"/>
    </row>
    <row r="59" customFormat="false" ht="15" hidden="false" customHeight="true" outlineLevel="0" collapsed="false">
      <c r="A59" s="256" t="s">
        <v>607</v>
      </c>
      <c r="B59" s="256"/>
      <c r="C59" s="256"/>
      <c r="D59" s="257" t="s">
        <v>608</v>
      </c>
      <c r="E59" s="257"/>
      <c r="F59" s="258" t="s">
        <v>609</v>
      </c>
      <c r="G59" s="258"/>
      <c r="H59" s="129" t="s">
        <v>610</v>
      </c>
      <c r="I59" s="129"/>
      <c r="J59" s="245" t="s">
        <v>18</v>
      </c>
      <c r="K59" s="245"/>
      <c r="L59" s="152" t="s">
        <v>611</v>
      </c>
      <c r="M59" s="152"/>
    </row>
    <row r="60" customFormat="false" ht="15" hidden="false" customHeight="true" outlineLevel="0" collapsed="false">
      <c r="A60" s="259" t="s">
        <v>612</v>
      </c>
      <c r="B60" s="259"/>
      <c r="C60" s="259"/>
      <c r="D60" s="257" t="s">
        <v>613</v>
      </c>
      <c r="E60" s="257"/>
      <c r="F60" s="258" t="s">
        <v>614</v>
      </c>
      <c r="G60" s="258"/>
      <c r="H60" s="137" t="s">
        <v>615</v>
      </c>
      <c r="I60" s="137"/>
      <c r="J60" s="143" t="s">
        <v>18</v>
      </c>
      <c r="K60" s="143"/>
      <c r="L60" s="153" t="s">
        <v>616</v>
      </c>
      <c r="M60" s="153"/>
    </row>
    <row r="61" customFormat="false" ht="15" hidden="false" customHeight="true" outlineLevel="0" collapsed="false">
      <c r="A61" s="256" t="s">
        <v>617</v>
      </c>
      <c r="B61" s="256"/>
      <c r="C61" s="256"/>
      <c r="D61" s="257" t="s">
        <v>618</v>
      </c>
      <c r="E61" s="257"/>
      <c r="F61" s="258" t="s">
        <v>619</v>
      </c>
      <c r="G61" s="258"/>
      <c r="H61" s="129" t="s">
        <v>620</v>
      </c>
      <c r="I61" s="129"/>
      <c r="J61" s="245" t="s">
        <v>18</v>
      </c>
      <c r="K61" s="245"/>
      <c r="L61" s="152" t="s">
        <v>621</v>
      </c>
      <c r="M61" s="152"/>
    </row>
    <row r="62" customFormat="false" ht="15" hidden="false" customHeight="true" outlineLevel="0" collapsed="false">
      <c r="A62" s="238" t="s">
        <v>622</v>
      </c>
      <c r="B62" s="238"/>
      <c r="C62" s="238"/>
      <c r="D62" s="257" t="s">
        <v>613</v>
      </c>
      <c r="E62" s="257"/>
      <c r="F62" s="258" t="s">
        <v>623</v>
      </c>
      <c r="G62" s="258"/>
      <c r="H62" s="137" t="s">
        <v>624</v>
      </c>
      <c r="I62" s="137"/>
      <c r="J62" s="137" t="s">
        <v>625</v>
      </c>
      <c r="K62" s="137"/>
      <c r="L62" s="153" t="s">
        <v>626</v>
      </c>
      <c r="M62" s="153"/>
    </row>
    <row r="63" customFormat="false" ht="15" hidden="false" customHeight="true" outlineLevel="0" collapsed="false">
      <c r="A63" s="256" t="s">
        <v>627</v>
      </c>
      <c r="B63" s="256"/>
      <c r="C63" s="256"/>
      <c r="D63" s="257" t="s">
        <v>628</v>
      </c>
      <c r="E63" s="257"/>
      <c r="F63" s="258" t="s">
        <v>629</v>
      </c>
      <c r="G63" s="258"/>
      <c r="H63" s="137" t="s">
        <v>630</v>
      </c>
      <c r="I63" s="137"/>
      <c r="J63" s="245" t="s">
        <v>18</v>
      </c>
      <c r="K63" s="245"/>
      <c r="L63" s="152" t="s">
        <v>631</v>
      </c>
      <c r="M63" s="152"/>
    </row>
    <row r="64" customFormat="false" ht="15" hidden="false" customHeight="true" outlineLevel="0" collapsed="false">
      <c r="A64" s="238" t="s">
        <v>632</v>
      </c>
      <c r="B64" s="238"/>
      <c r="C64" s="238"/>
      <c r="D64" s="257" t="s">
        <v>633</v>
      </c>
      <c r="E64" s="257"/>
      <c r="F64" s="258" t="s">
        <v>634</v>
      </c>
      <c r="G64" s="258"/>
      <c r="H64" s="137" t="s">
        <v>635</v>
      </c>
      <c r="I64" s="137"/>
      <c r="J64" s="137" t="s">
        <v>636</v>
      </c>
      <c r="K64" s="137"/>
      <c r="L64" s="153" t="s">
        <v>637</v>
      </c>
      <c r="M64" s="153"/>
    </row>
    <row r="65" customFormat="false" ht="15" hidden="false" customHeight="true" outlineLevel="0" collapsed="false">
      <c r="A65" s="231" t="s">
        <v>638</v>
      </c>
      <c r="B65" s="231"/>
      <c r="C65" s="231"/>
      <c r="D65" s="257" t="s">
        <v>639</v>
      </c>
      <c r="E65" s="257"/>
      <c r="F65" s="258" t="s">
        <v>640</v>
      </c>
      <c r="G65" s="258"/>
      <c r="H65" s="137" t="s">
        <v>641</v>
      </c>
      <c r="I65" s="137"/>
      <c r="J65" s="137" t="s">
        <v>642</v>
      </c>
      <c r="K65" s="137"/>
      <c r="L65" s="152" t="s">
        <v>643</v>
      </c>
      <c r="M65" s="152"/>
    </row>
    <row r="66" customFormat="false" ht="7.5" hidden="false" customHeight="true" outlineLevel="0" collapsed="false"/>
    <row r="67" customFormat="false" ht="15.75" hidden="false" customHeight="true" outlineLevel="0" collapsed="false">
      <c r="A67" s="260" t="s">
        <v>644</v>
      </c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  <c r="M67" s="260"/>
    </row>
    <row r="68" customFormat="false" ht="15.75" hidden="false" customHeight="true" outlineLevel="0" collapsed="false">
      <c r="A68" s="84" t="s">
        <v>530</v>
      </c>
      <c r="B68" s="84"/>
      <c r="C68" s="84"/>
      <c r="D68" s="84" t="s">
        <v>645</v>
      </c>
      <c r="E68" s="84"/>
      <c r="F68" s="84"/>
      <c r="G68" s="84"/>
      <c r="H68" s="84" t="s">
        <v>134</v>
      </c>
      <c r="I68" s="84"/>
      <c r="J68" s="84"/>
      <c r="K68" s="84"/>
      <c r="L68" s="84"/>
      <c r="M68" s="84"/>
    </row>
    <row r="69" customFormat="false" ht="15" hidden="false" customHeight="true" outlineLevel="0" collapsed="false">
      <c r="A69" s="256" t="s">
        <v>646</v>
      </c>
      <c r="B69" s="256"/>
      <c r="C69" s="256"/>
      <c r="D69" s="261" t="s">
        <v>647</v>
      </c>
      <c r="E69" s="261"/>
      <c r="F69" s="261"/>
      <c r="G69" s="261"/>
      <c r="H69" s="152" t="s">
        <v>648</v>
      </c>
      <c r="I69" s="152"/>
      <c r="J69" s="152"/>
      <c r="K69" s="152"/>
      <c r="L69" s="152"/>
      <c r="M69" s="152"/>
    </row>
    <row r="70" customFormat="false" ht="15" hidden="false" customHeight="true" outlineLevel="0" collapsed="false">
      <c r="A70" s="259" t="s">
        <v>649</v>
      </c>
      <c r="B70" s="259"/>
      <c r="C70" s="259"/>
      <c r="D70" s="261" t="s">
        <v>650</v>
      </c>
      <c r="E70" s="261"/>
      <c r="F70" s="261"/>
      <c r="G70" s="261"/>
      <c r="H70" s="153" t="s">
        <v>651</v>
      </c>
      <c r="I70" s="153"/>
      <c r="J70" s="153"/>
      <c r="K70" s="153"/>
      <c r="L70" s="153"/>
      <c r="M70" s="153"/>
    </row>
    <row r="71" customFormat="false" ht="15" hidden="false" customHeight="true" outlineLevel="0" collapsed="false">
      <c r="A71" s="256" t="s">
        <v>652</v>
      </c>
      <c r="B71" s="256"/>
      <c r="C71" s="256"/>
      <c r="D71" s="261" t="s">
        <v>653</v>
      </c>
      <c r="E71" s="261"/>
      <c r="F71" s="261"/>
      <c r="G71" s="261"/>
      <c r="H71" s="152" t="s">
        <v>654</v>
      </c>
      <c r="I71" s="152"/>
      <c r="J71" s="152"/>
      <c r="K71" s="152"/>
      <c r="L71" s="152"/>
      <c r="M71" s="152"/>
    </row>
    <row r="72" customFormat="false" ht="15" hidden="false" customHeight="true" outlineLevel="0" collapsed="false">
      <c r="A72" s="259" t="s">
        <v>655</v>
      </c>
      <c r="B72" s="259"/>
      <c r="C72" s="259"/>
      <c r="D72" s="261" t="s">
        <v>656</v>
      </c>
      <c r="E72" s="261"/>
      <c r="F72" s="261"/>
      <c r="G72" s="261"/>
      <c r="H72" s="153" t="s">
        <v>657</v>
      </c>
      <c r="I72" s="153"/>
      <c r="J72" s="153"/>
      <c r="K72" s="153"/>
      <c r="L72" s="153"/>
      <c r="M72" s="153"/>
    </row>
    <row r="73" customFormat="false" ht="15" hidden="false" customHeight="true" outlineLevel="0" collapsed="false">
      <c r="A73" s="256" t="s">
        <v>658</v>
      </c>
      <c r="B73" s="256"/>
      <c r="C73" s="256"/>
      <c r="D73" s="261" t="s">
        <v>659</v>
      </c>
      <c r="E73" s="261"/>
      <c r="F73" s="261"/>
      <c r="G73" s="261"/>
      <c r="H73" s="152" t="s">
        <v>660</v>
      </c>
      <c r="I73" s="152"/>
      <c r="J73" s="152"/>
      <c r="K73" s="152"/>
      <c r="L73" s="152"/>
      <c r="M73" s="152"/>
    </row>
    <row r="74" customFormat="false" ht="15" hidden="false" customHeight="true" outlineLevel="0" collapsed="false">
      <c r="A74" s="259" t="s">
        <v>661</v>
      </c>
      <c r="B74" s="259"/>
      <c r="C74" s="259"/>
      <c r="D74" s="261" t="s">
        <v>662</v>
      </c>
      <c r="E74" s="261"/>
      <c r="F74" s="261"/>
      <c r="G74" s="261"/>
      <c r="H74" s="153" t="s">
        <v>663</v>
      </c>
      <c r="I74" s="153"/>
      <c r="J74" s="153"/>
      <c r="K74" s="153"/>
      <c r="L74" s="153"/>
      <c r="M74" s="153"/>
    </row>
    <row r="75" customFormat="false" ht="7.5" hidden="false" customHeight="true" outlineLevel="0" collapsed="false"/>
    <row r="76" customFormat="false" ht="15.75" hidden="false" customHeight="true" outlineLevel="0" collapsed="false">
      <c r="A76" s="116" t="s">
        <v>664</v>
      </c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</row>
    <row r="77" customFormat="false" ht="24" hidden="false" customHeight="true" outlineLevel="0" collapsed="false">
      <c r="A77" s="85" t="s">
        <v>665</v>
      </c>
      <c r="B77" s="85"/>
      <c r="C77" s="85"/>
      <c r="D77" s="85" t="s">
        <v>666</v>
      </c>
      <c r="E77" s="85" t="s">
        <v>667</v>
      </c>
      <c r="F77" s="85"/>
      <c r="G77" s="85" t="s">
        <v>668</v>
      </c>
      <c r="H77" s="85"/>
      <c r="I77" s="85" t="s">
        <v>669</v>
      </c>
      <c r="J77" s="85"/>
      <c r="K77" s="85" t="s">
        <v>670</v>
      </c>
      <c r="L77" s="85" t="s">
        <v>576</v>
      </c>
      <c r="M77" s="85"/>
    </row>
    <row r="78" customFormat="false" ht="15" hidden="false" customHeight="true" outlineLevel="0" collapsed="false">
      <c r="A78" s="262" t="s">
        <v>671</v>
      </c>
      <c r="B78" s="262"/>
      <c r="C78" s="262"/>
      <c r="D78" s="263" t="n">
        <v>57</v>
      </c>
      <c r="E78" s="264" t="n">
        <v>11959</v>
      </c>
      <c r="F78" s="264"/>
      <c r="G78" s="265" t="n">
        <v>12719</v>
      </c>
      <c r="H78" s="265"/>
      <c r="I78" s="265" t="n">
        <v>394287</v>
      </c>
      <c r="J78" s="265"/>
      <c r="K78" s="263" t="s">
        <v>672</v>
      </c>
      <c r="L78" s="91" t="n">
        <v>0.802816901408451</v>
      </c>
      <c r="M78" s="91"/>
    </row>
    <row r="79" customFormat="false" ht="15" hidden="false" customHeight="true" outlineLevel="0" collapsed="false">
      <c r="A79" s="266" t="s">
        <v>673</v>
      </c>
      <c r="B79" s="266"/>
      <c r="C79" s="266"/>
      <c r="D79" s="257" t="n">
        <v>71</v>
      </c>
      <c r="E79" s="240" t="n">
        <v>14896</v>
      </c>
      <c r="F79" s="240"/>
      <c r="G79" s="250" t="n">
        <v>14922</v>
      </c>
      <c r="H79" s="250"/>
      <c r="I79" s="250" t="n">
        <v>462577</v>
      </c>
      <c r="J79" s="250"/>
      <c r="K79" s="120" t="n">
        <v>85927</v>
      </c>
      <c r="L79" s="91" t="n">
        <v>1</v>
      </c>
      <c r="M79" s="91"/>
    </row>
    <row r="80" customFormat="false" ht="15" hidden="false" customHeight="true" outlineLevel="0" collapsed="false">
      <c r="A80" s="238" t="s">
        <v>674</v>
      </c>
      <c r="B80" s="238"/>
      <c r="C80" s="238"/>
      <c r="D80" s="267" t="n">
        <v>82</v>
      </c>
      <c r="E80" s="242" t="n">
        <v>17204</v>
      </c>
      <c r="F80" s="242"/>
      <c r="G80" s="254" t="n">
        <v>16653</v>
      </c>
      <c r="H80" s="254"/>
      <c r="I80" s="254" t="n">
        <v>516234</v>
      </c>
      <c r="J80" s="254"/>
      <c r="K80" s="120" t="n">
        <v>139584</v>
      </c>
      <c r="L80" s="15" t="n">
        <v>1.15492957746479</v>
      </c>
      <c r="M80" s="15"/>
    </row>
    <row r="81" customFormat="false" ht="15" hidden="false" customHeight="true" outlineLevel="0" collapsed="false">
      <c r="A81" s="268" t="s">
        <v>675</v>
      </c>
      <c r="B81" s="268"/>
      <c r="C81" s="268"/>
      <c r="D81" s="258" t="n">
        <v>93</v>
      </c>
      <c r="E81" s="241" t="n">
        <v>19511</v>
      </c>
      <c r="F81" s="241"/>
      <c r="G81" s="251" t="n">
        <v>18384</v>
      </c>
      <c r="H81" s="251"/>
      <c r="I81" s="251" t="n">
        <v>569890</v>
      </c>
      <c r="J81" s="251"/>
      <c r="K81" s="120" t="n">
        <v>193240</v>
      </c>
      <c r="L81" s="15" t="n">
        <v>1.30985915492958</v>
      </c>
      <c r="M81" s="15"/>
    </row>
    <row r="82" customFormat="false" ht="15" hidden="false" customHeight="true" outlineLevel="0" collapsed="false">
      <c r="A82" s="269" t="s">
        <v>676</v>
      </c>
      <c r="B82" s="269"/>
      <c r="C82" s="269"/>
      <c r="D82" s="129" t="n">
        <v>97</v>
      </c>
      <c r="E82" s="248" t="n">
        <v>20351</v>
      </c>
      <c r="F82" s="248"/>
      <c r="G82" s="253" t="n">
        <v>19013</v>
      </c>
      <c r="H82" s="253"/>
      <c r="I82" s="253" t="n">
        <v>589401</v>
      </c>
      <c r="J82" s="253"/>
      <c r="K82" s="120" t="n">
        <v>212751</v>
      </c>
      <c r="L82" s="15" t="n">
        <v>1.36619718309859</v>
      </c>
      <c r="M82" s="15"/>
    </row>
    <row r="83" customFormat="false" ht="15" hidden="false" customHeight="true" outlineLevel="0" collapsed="false">
      <c r="A83" s="170" t="s">
        <v>677</v>
      </c>
      <c r="B83" s="170"/>
      <c r="C83" s="170"/>
      <c r="D83" s="137" t="n">
        <v>93</v>
      </c>
      <c r="E83" s="270" t="n">
        <v>19511</v>
      </c>
      <c r="F83" s="270"/>
      <c r="G83" s="120" t="n">
        <v>18384</v>
      </c>
      <c r="H83" s="120"/>
      <c r="I83" s="120" t="n">
        <v>569890</v>
      </c>
      <c r="J83" s="120"/>
      <c r="K83" s="120" t="n">
        <v>193240</v>
      </c>
      <c r="L83" s="15" t="n">
        <v>1.30985915492958</v>
      </c>
      <c r="M83" s="15"/>
    </row>
    <row r="85" customFormat="false" ht="19.5" hidden="false" customHeight="true" outlineLevel="0" collapsed="false">
      <c r="A85" s="271" t="s">
        <v>678</v>
      </c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</row>
  </sheetData>
  <mergeCells count="185">
    <mergeCell ref="A1:M1"/>
    <mergeCell ref="A2:M2"/>
    <mergeCell ref="A4:M4"/>
    <mergeCell ref="C5:E5"/>
    <mergeCell ref="F5:G5"/>
    <mergeCell ref="H5:I5"/>
    <mergeCell ref="K5:L5"/>
    <mergeCell ref="A20:B20"/>
    <mergeCell ref="A22:M22"/>
    <mergeCell ref="C23:M23"/>
    <mergeCell ref="C24:M24"/>
    <mergeCell ref="C25:M25"/>
    <mergeCell ref="C26:M26"/>
    <mergeCell ref="C27:M27"/>
    <mergeCell ref="C28:M28"/>
    <mergeCell ref="C29:M29"/>
    <mergeCell ref="A32:M32"/>
    <mergeCell ref="A33:M33"/>
    <mergeCell ref="A35:M35"/>
    <mergeCell ref="A36:F36"/>
    <mergeCell ref="H36:M36"/>
    <mergeCell ref="A37:F37"/>
    <mergeCell ref="H37:M37"/>
    <mergeCell ref="A38:F38"/>
    <mergeCell ref="H38:M38"/>
    <mergeCell ref="A39:F39"/>
    <mergeCell ref="H39:M39"/>
    <mergeCell ref="A40:F40"/>
    <mergeCell ref="H40:M40"/>
    <mergeCell ref="A41:F41"/>
    <mergeCell ref="H41:M41"/>
    <mergeCell ref="A42:F42"/>
    <mergeCell ref="H42:M42"/>
    <mergeCell ref="A43:F43"/>
    <mergeCell ref="H43:M43"/>
    <mergeCell ref="A45:M45"/>
    <mergeCell ref="A46:M46"/>
    <mergeCell ref="A47:B47"/>
    <mergeCell ref="C47:D47"/>
    <mergeCell ref="E47:F47"/>
    <mergeCell ref="G47:H47"/>
    <mergeCell ref="A48:B48"/>
    <mergeCell ref="C48:D48"/>
    <mergeCell ref="E48:F48"/>
    <mergeCell ref="G48:H48"/>
    <mergeCell ref="A49:B49"/>
    <mergeCell ref="C49:D49"/>
    <mergeCell ref="E49:F49"/>
    <mergeCell ref="G49:H49"/>
    <mergeCell ref="A50:B50"/>
    <mergeCell ref="C50:D50"/>
    <mergeCell ref="E50:F50"/>
    <mergeCell ref="G50:H50"/>
    <mergeCell ref="A51:B51"/>
    <mergeCell ref="C51:D51"/>
    <mergeCell ref="E51:F51"/>
    <mergeCell ref="G51:H51"/>
    <mergeCell ref="A52:B52"/>
    <mergeCell ref="C52:D52"/>
    <mergeCell ref="E52:F52"/>
    <mergeCell ref="G52:H52"/>
    <mergeCell ref="A53:B53"/>
    <mergeCell ref="C53:D53"/>
    <mergeCell ref="E53:F53"/>
    <mergeCell ref="G53:H53"/>
    <mergeCell ref="A55:M55"/>
    <mergeCell ref="A56:C56"/>
    <mergeCell ref="D56:E56"/>
    <mergeCell ref="F56:G56"/>
    <mergeCell ref="H56:I56"/>
    <mergeCell ref="J56:K56"/>
    <mergeCell ref="L56:M56"/>
    <mergeCell ref="A57:C57"/>
    <mergeCell ref="D57:E57"/>
    <mergeCell ref="F57:G57"/>
    <mergeCell ref="H57:I57"/>
    <mergeCell ref="J57:K57"/>
    <mergeCell ref="L57:M57"/>
    <mergeCell ref="A58:C58"/>
    <mergeCell ref="D58:E58"/>
    <mergeCell ref="F58:G58"/>
    <mergeCell ref="H58:I58"/>
    <mergeCell ref="J58:K58"/>
    <mergeCell ref="L58:M58"/>
    <mergeCell ref="A59:C59"/>
    <mergeCell ref="D59:E59"/>
    <mergeCell ref="F59:G59"/>
    <mergeCell ref="H59:I59"/>
    <mergeCell ref="J59:K59"/>
    <mergeCell ref="L59:M59"/>
    <mergeCell ref="A60:C60"/>
    <mergeCell ref="D60:E60"/>
    <mergeCell ref="F60:G60"/>
    <mergeCell ref="H60:I60"/>
    <mergeCell ref="J60:K60"/>
    <mergeCell ref="L60:M60"/>
    <mergeCell ref="A61:C61"/>
    <mergeCell ref="D61:E61"/>
    <mergeCell ref="F61:G61"/>
    <mergeCell ref="H61:I61"/>
    <mergeCell ref="J61:K61"/>
    <mergeCell ref="L61:M61"/>
    <mergeCell ref="A62:C62"/>
    <mergeCell ref="D62:E62"/>
    <mergeCell ref="F62:G62"/>
    <mergeCell ref="H62:I62"/>
    <mergeCell ref="J62:K62"/>
    <mergeCell ref="L62:M62"/>
    <mergeCell ref="A63:C63"/>
    <mergeCell ref="D63:E63"/>
    <mergeCell ref="F63:G63"/>
    <mergeCell ref="H63:I63"/>
    <mergeCell ref="J63:K63"/>
    <mergeCell ref="L63:M63"/>
    <mergeCell ref="A64:C64"/>
    <mergeCell ref="D64:E64"/>
    <mergeCell ref="F64:G64"/>
    <mergeCell ref="H64:I64"/>
    <mergeCell ref="J64:K64"/>
    <mergeCell ref="L64:M64"/>
    <mergeCell ref="A65:C65"/>
    <mergeCell ref="D65:E65"/>
    <mergeCell ref="F65:G65"/>
    <mergeCell ref="H65:I65"/>
    <mergeCell ref="J65:K65"/>
    <mergeCell ref="L65:M65"/>
    <mergeCell ref="A67:M67"/>
    <mergeCell ref="A68:C68"/>
    <mergeCell ref="D68:G68"/>
    <mergeCell ref="H68:M68"/>
    <mergeCell ref="A69:C69"/>
    <mergeCell ref="D69:G69"/>
    <mergeCell ref="H69:M69"/>
    <mergeCell ref="A70:C70"/>
    <mergeCell ref="D70:G70"/>
    <mergeCell ref="H70:M70"/>
    <mergeCell ref="A71:C71"/>
    <mergeCell ref="D71:G71"/>
    <mergeCell ref="H71:M71"/>
    <mergeCell ref="A72:C72"/>
    <mergeCell ref="D72:G72"/>
    <mergeCell ref="H72:M72"/>
    <mergeCell ref="A73:C73"/>
    <mergeCell ref="D73:G73"/>
    <mergeCell ref="H73:M73"/>
    <mergeCell ref="A74:C74"/>
    <mergeCell ref="D74:G74"/>
    <mergeCell ref="H74:M74"/>
    <mergeCell ref="A76:M76"/>
    <mergeCell ref="A77:C77"/>
    <mergeCell ref="E77:F77"/>
    <mergeCell ref="G77:H77"/>
    <mergeCell ref="I77:J77"/>
    <mergeCell ref="L77:M77"/>
    <mergeCell ref="A78:C78"/>
    <mergeCell ref="E78:F78"/>
    <mergeCell ref="G78:H78"/>
    <mergeCell ref="I78:J78"/>
    <mergeCell ref="L78:M78"/>
    <mergeCell ref="A79:C79"/>
    <mergeCell ref="E79:F79"/>
    <mergeCell ref="G79:H79"/>
    <mergeCell ref="I79:J79"/>
    <mergeCell ref="L79:M79"/>
    <mergeCell ref="A80:C80"/>
    <mergeCell ref="E80:F80"/>
    <mergeCell ref="G80:H80"/>
    <mergeCell ref="I80:J80"/>
    <mergeCell ref="L80:M80"/>
    <mergeCell ref="A81:C81"/>
    <mergeCell ref="E81:F81"/>
    <mergeCell ref="G81:H81"/>
    <mergeCell ref="I81:J81"/>
    <mergeCell ref="L81:M81"/>
    <mergeCell ref="A82:C82"/>
    <mergeCell ref="E82:F82"/>
    <mergeCell ref="G82:H82"/>
    <mergeCell ref="I82:J82"/>
    <mergeCell ref="L82:M82"/>
    <mergeCell ref="A83:C83"/>
    <mergeCell ref="E83:F83"/>
    <mergeCell ref="G83:H83"/>
    <mergeCell ref="I83:J83"/>
    <mergeCell ref="L83:M83"/>
    <mergeCell ref="A85:M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2026-03-16T15:41:20Z</dcterms:created>
  <dc:creator>openpyxl</dc:creator>
  <dc:description/>
  <dc:language>en-US</dc:language>
  <cp:lastModifiedBy>Tyler Kolaczynski</cp:lastModifiedBy>
  <dcterms:modified xsi:type="dcterms:W3CDTF">2026-03-22T13:16:14Z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