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Operations Dashboard" sheetId="1" state="visible" r:id="rId1"/>
    <sheet xmlns:r="http://schemas.openxmlformats.org/officeDocument/2006/relationships" name="Mar 2026 P&amp;L Forecast" sheetId="2" state="visible" r:id="rId2"/>
    <sheet xmlns:r="http://schemas.openxmlformats.org/officeDocument/2006/relationships" name="Mar 2026 Weekly" sheetId="3" state="visible" r:id="rId3"/>
    <sheet xmlns:r="http://schemas.openxmlformats.org/officeDocument/2006/relationships" name="Headcount &amp; Roster" sheetId="4" state="visible" r:id="rId4"/>
    <sheet xmlns:r="http://schemas.openxmlformats.org/officeDocument/2006/relationships" name="Pump Runtime" sheetId="5" state="visible" r:id="rId5"/>
    <sheet xmlns:r="http://schemas.openxmlformats.org/officeDocument/2006/relationships" name="Maintenance Calendar" sheetId="6" state="visible" r:id="rId6"/>
    <sheet xmlns:r="http://schemas.openxmlformats.org/officeDocument/2006/relationships" name="Diesel Fuel" sheetId="7" state="visible" r:id="rId7"/>
    <sheet xmlns:r="http://schemas.openxmlformats.org/officeDocument/2006/relationships" name="Revenue Efficienc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\$#,##0_);[RED]&quot;($&quot;#,##0\)"/>
    <numFmt numFmtId="165" formatCode="#,##0_);[RED]\(#,##0\)"/>
    <numFmt numFmtId="166" formatCode="#,##0.00_);[RED]\(#,##0.00\)"/>
    <numFmt numFmtId="167" formatCode="\$#,##0.00"/>
    <numFmt numFmtId="168" formatCode="0.0%"/>
    <numFmt numFmtId="169" formatCode="\$#,##0.00_);[RED]&quot;($&quot;#,##0.00\)"/>
    <numFmt numFmtId="170" formatCode="#,##0.0"/>
    <numFmt numFmtId="171" formatCode="\$#,##0"/>
    <numFmt numFmtId="172" formatCode="&quot;~$&quot;#,##0"/>
    <numFmt numFmtId="173" formatCode="&quot;~$&quot;#,##0.00"/>
    <numFmt numFmtId="174" formatCode="\$#,##0.0000"/>
    <numFmt numFmtId="175" formatCode="0.000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9"/>
    </font>
    <font>
      <name val="Cambria"/>
      <charset val="1"/>
      <family val="0"/>
      <sz val="11"/>
    </font>
    <font>
      <name val="Arial"/>
      <charset val="1"/>
      <family val="0"/>
      <b val="1"/>
      <color rgb="FF333333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E74C3C"/>
      <sz val="10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7F6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27AE60"/>
      <sz val="10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b val="1"/>
      <color rgb="FF843C0C"/>
      <sz val="9"/>
    </font>
    <font>
      <name val="Arial"/>
      <charset val="1"/>
      <family val="0"/>
      <i val="1"/>
      <color rgb="FFFFFFFF"/>
      <sz val="8"/>
    </font>
    <font>
      <name val="Arial"/>
      <charset val="1"/>
      <family val="0"/>
      <b val="1"/>
      <color rgb="FF375623"/>
      <sz val="12"/>
    </font>
    <font>
      <name val="Arial"/>
      <charset val="1"/>
      <family val="0"/>
      <b val="1"/>
      <color rgb="FF375623"/>
      <sz val="8"/>
    </font>
    <font>
      <name val="Arial"/>
      <charset val="1"/>
      <family val="0"/>
      <b val="1"/>
      <color rgb="FF7F6000"/>
      <sz val="8"/>
    </font>
    <font>
      <name val="Arial"/>
      <charset val="1"/>
      <family val="0"/>
      <b val="1"/>
      <color rgb="FF333333"/>
      <sz val="9"/>
    </font>
    <font>
      <name val="Arial"/>
      <charset val="1"/>
      <family val="0"/>
      <b val="1"/>
      <color rgb="FF375623"/>
      <sz val="11"/>
    </font>
    <font>
      <name val="Arial"/>
      <charset val="1"/>
      <family val="0"/>
      <i val="1"/>
      <color rgb="FF333333"/>
      <sz val="8"/>
    </font>
    <font>
      <name val="Arial"/>
      <charset val="1"/>
      <family val="0"/>
      <b val="1"/>
      <i val="1"/>
      <color rgb="FF7F6000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C00000"/>
      <sz val="8"/>
    </font>
    <font>
      <name val="Arial"/>
      <charset val="1"/>
      <family val="0"/>
      <i val="1"/>
      <color rgb="FF1F3864"/>
      <sz val="8"/>
    </font>
    <font>
      <name val="Courier New"/>
      <charset val="1"/>
      <family val="0"/>
      <color rgb="FF333333"/>
      <sz val="8"/>
    </font>
    <font>
      <name val="Arial"/>
      <charset val="1"/>
      <family val="0"/>
      <b val="1"/>
      <color rgb="FFC00000"/>
      <sz val="11"/>
    </font>
    <font>
      <name val="Arial"/>
      <charset val="1"/>
      <family val="0"/>
      <i val="1"/>
      <color rgb="FF7F6000"/>
      <sz val="9"/>
    </font>
  </fonts>
  <fills count="30">
    <fill>
      <patternFill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1A3A5C"/>
        <bgColor rgb="FF17375E"/>
      </patternFill>
    </fill>
    <fill>
      <patternFill patternType="solid">
        <fgColor rgb="FFFFFFFF"/>
        <bgColor rgb="FFFFF8E7"/>
      </patternFill>
    </fill>
    <fill>
      <patternFill patternType="solid">
        <fgColor rgb="FFFCE4D6"/>
        <bgColor rgb="FFFAE5D3"/>
      </patternFill>
    </fill>
    <fill>
      <patternFill patternType="solid">
        <fgColor rgb="FFEBF3FC"/>
        <bgColor rgb="FFEAF4FF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FF8E7"/>
      </patternFill>
    </fill>
    <fill>
      <patternFill patternType="solid">
        <fgColor rgb="FFFFF8E7"/>
        <bgColor rgb="FFF5F5F5"/>
      </patternFill>
    </fill>
    <fill>
      <patternFill patternType="solid">
        <fgColor rgb="FF2E4A6B"/>
        <bgColor rgb="FF1F4E79"/>
      </patternFill>
    </fill>
    <fill>
      <patternFill patternType="solid">
        <fgColor rgb="FF1F4E79"/>
        <bgColor rgb="FF2E4A6B"/>
      </patternFill>
    </fill>
    <fill>
      <patternFill patternType="solid">
        <fgColor rgb="FFD6E4F7"/>
        <bgColor rgb="FFDEEAF1"/>
      </patternFill>
    </fill>
    <fill>
      <patternFill patternType="solid">
        <fgColor rgb="FF1F2D3D"/>
        <bgColor rgb="FF333333"/>
      </patternFill>
    </fill>
    <fill>
      <patternFill patternType="solid">
        <fgColor rgb="FF27AE60"/>
        <bgColor rgb="FF70AD47"/>
      </patternFill>
    </fill>
    <fill>
      <patternFill patternType="solid">
        <fgColor rgb="FFF39C12"/>
        <bgColor rgb="FFED7D31"/>
      </patternFill>
    </fill>
    <fill>
      <patternFill patternType="solid">
        <fgColor rgb="FF3A7BD5"/>
        <bgColor rgb="FF2E75B6"/>
      </patternFill>
    </fill>
    <fill>
      <patternFill patternType="solid">
        <fgColor rgb="FFEAF4FF"/>
        <bgColor rgb="FFEBF3FC"/>
      </patternFill>
    </fill>
    <fill>
      <patternFill patternType="solid">
        <fgColor rgb="FF2E75B6"/>
        <bgColor rgb="FF3A7BD5"/>
      </patternFill>
    </fill>
    <fill>
      <patternFill patternType="solid">
        <fgColor rgb="FF70AD47"/>
        <bgColor rgb="FF888888"/>
      </patternFill>
    </fill>
    <fill>
      <patternFill patternType="solid">
        <fgColor rgb="FFED7D31"/>
        <bgColor rgb="FFF39C12"/>
      </patternFill>
    </fill>
    <fill>
      <patternFill patternType="solid">
        <fgColor rgb="FFF5F5F5"/>
        <bgColor rgb="FFF2F2F2"/>
      </patternFill>
    </fill>
    <fill>
      <patternFill patternType="solid">
        <fgColor rgb="FFDEEAF1"/>
        <bgColor rgb="FFD6E4F7"/>
      </patternFill>
    </fill>
    <fill>
      <patternFill patternType="solid">
        <fgColor rgb="FF17375E"/>
        <bgColor rgb="FF1A3A5C"/>
      </patternFill>
    </fill>
    <fill>
      <patternFill patternType="solid">
        <fgColor rgb="FFC6E0B4"/>
        <bgColor rgb="FFCCCCCC"/>
      </patternFill>
    </fill>
    <fill>
      <patternFill patternType="solid">
        <fgColor rgb="FFF2F2F2"/>
        <bgColor rgb="FFF5F5F5"/>
      </patternFill>
    </fill>
    <fill>
      <patternFill patternType="solid">
        <fgColor rgb="FFFFD966"/>
        <bgColor rgb="FFFAE5D3"/>
      </patternFill>
    </fill>
    <fill>
      <patternFill patternType="solid">
        <fgColor rgb="FF375623"/>
        <bgColor rgb="FF595959"/>
      </patternFill>
    </fill>
    <fill>
      <patternFill patternType="solid">
        <fgColor rgb="FFFAE5D3"/>
        <bgColor rgb="FFFCE4D6"/>
      </patternFill>
    </fill>
    <fill>
      <patternFill patternType="solid">
        <fgColor rgb="FF843C0C"/>
        <bgColor rgb="FF7F600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4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68" fontId="11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6" fontId="9" fillId="6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 wrapText="1"/>
    </xf>
    <xf numFmtId="169" fontId="9" fillId="9" borderId="1" applyAlignment="1" pivotButton="0" quotePrefix="0" xfId="0">
      <alignment horizontal="center" vertical="center" wrapText="1"/>
    </xf>
    <xf numFmtId="164" fontId="14" fillId="8" borderId="1" applyAlignment="1" pivotButton="0" quotePrefix="0" xfId="0">
      <alignment horizontal="center" vertical="center" wrapText="1"/>
    </xf>
    <xf numFmtId="165" fontId="9" fillId="9" borderId="1" applyAlignment="1" pivotButton="0" quotePrefix="0" xfId="0">
      <alignment horizontal="center" vertical="center" wrapText="1"/>
    </xf>
    <xf numFmtId="166" fontId="9" fillId="9" borderId="1" applyAlignment="1" pivotButton="0" quotePrefix="0" xfId="0">
      <alignment horizontal="center" vertical="center" wrapText="1"/>
    </xf>
    <xf numFmtId="167" fontId="9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center" vertical="center" wrapText="1"/>
    </xf>
    <xf numFmtId="167" fontId="6" fillId="10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center" wrapText="1"/>
    </xf>
    <xf numFmtId="169" fontId="15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indent="2"/>
    </xf>
    <xf numFmtId="169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indent="2"/>
    </xf>
    <xf numFmtId="169" fontId="9" fillId="6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/>
    </xf>
    <xf numFmtId="169" fontId="8" fillId="1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2"/>
    </xf>
    <xf numFmtId="169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indent="4"/>
    </xf>
    <xf numFmtId="0" fontId="9" fillId="4" borderId="1" applyAlignment="1" pivotButton="0" quotePrefix="0" xfId="0">
      <alignment horizontal="left" vertical="center" indent="4"/>
    </xf>
    <xf numFmtId="0" fontId="8" fillId="12" borderId="1" applyAlignment="1" pivotButton="0" quotePrefix="0" xfId="0">
      <alignment horizontal="left" vertical="center" indent="2"/>
    </xf>
    <xf numFmtId="0" fontId="8" fillId="6" borderId="1" applyAlignment="1" pivotButton="0" quotePrefix="0" xfId="0">
      <alignment horizontal="left" vertical="center" indent="2"/>
    </xf>
    <xf numFmtId="169" fontId="8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167" fontId="17" fillId="0" borderId="0" applyAlignment="1" pivotButton="0" quotePrefix="0" xfId="0">
      <alignment horizontal="center" vertical="center"/>
    </xf>
    <xf numFmtId="167" fontId="8" fillId="6" borderId="1" applyAlignment="1" pivotButton="0" quotePrefix="0" xfId="0">
      <alignment horizontal="center" vertical="center"/>
    </xf>
    <xf numFmtId="0" fontId="18" fillId="13" borderId="2" applyAlignment="1" pivotButton="0" quotePrefix="0" xfId="0">
      <alignment horizontal="left" vertical="center"/>
    </xf>
    <xf numFmtId="169" fontId="18" fillId="13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164" fontId="15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indent="14"/>
    </xf>
    <xf numFmtId="0" fontId="18" fillId="2" borderId="1" applyAlignment="1" pivotButton="0" quotePrefix="0" xfId="0">
      <alignment horizontal="left" vertical="center"/>
    </xf>
    <xf numFmtId="0" fontId="21" fillId="18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left" vertical="center"/>
    </xf>
    <xf numFmtId="3" fontId="23" fillId="21" borderId="1" applyAlignment="1" pivotButton="0" quotePrefix="0" xfId="0">
      <alignment horizontal="center" vertical="center" wrapText="1"/>
    </xf>
    <xf numFmtId="170" fontId="23" fillId="22" borderId="1" applyAlignment="1" pivotButton="0" quotePrefix="0" xfId="0">
      <alignment horizontal="center" vertical="center" wrapText="1"/>
    </xf>
    <xf numFmtId="168" fontId="24" fillId="22" borderId="1" applyAlignment="1" pivotButton="0" quotePrefix="0" xfId="0">
      <alignment horizontal="center" vertical="center" wrapText="1"/>
    </xf>
    <xf numFmtId="170" fontId="23" fillId="7" borderId="1" applyAlignment="1" pivotButton="0" quotePrefix="0" xfId="0">
      <alignment horizontal="center" vertical="center" wrapText="1"/>
    </xf>
    <xf numFmtId="168" fontId="13" fillId="7" borderId="1" applyAlignment="1" pivotButton="0" quotePrefix="0" xfId="0">
      <alignment horizontal="center" vertical="center" wrapText="1"/>
    </xf>
    <xf numFmtId="170" fontId="23" fillId="5" borderId="1" applyAlignment="1" pivotButton="0" quotePrefix="0" xfId="0">
      <alignment horizontal="center" vertical="center" wrapText="1"/>
    </xf>
    <xf numFmtId="168" fontId="25" fillId="5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/>
    </xf>
    <xf numFmtId="3" fontId="23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3" fontId="6" fillId="11" borderId="1" applyAlignment="1" pivotButton="0" quotePrefix="0" xfId="0">
      <alignment horizontal="center" vertical="center" wrapText="1"/>
    </xf>
    <xf numFmtId="170" fontId="6" fillId="18" borderId="1" applyAlignment="1" pivotButton="0" quotePrefix="0" xfId="0">
      <alignment horizontal="center" vertical="center" wrapText="1"/>
    </xf>
    <xf numFmtId="168" fontId="6" fillId="18" borderId="1" applyAlignment="1" pivotButton="0" quotePrefix="0" xfId="0">
      <alignment horizontal="center" vertical="center" wrapText="1"/>
    </xf>
    <xf numFmtId="170" fontId="6" fillId="19" borderId="1" applyAlignment="1" pivotButton="0" quotePrefix="0" xfId="0">
      <alignment horizontal="center" vertical="center" wrapText="1"/>
    </xf>
    <xf numFmtId="168" fontId="6" fillId="19" borderId="1" applyAlignment="1" pivotButton="0" quotePrefix="0" xfId="0">
      <alignment horizontal="center" vertical="center" wrapText="1"/>
    </xf>
    <xf numFmtId="170" fontId="6" fillId="20" borderId="1" applyAlignment="1" pivotButton="0" quotePrefix="0" xfId="0">
      <alignment horizontal="center" vertical="center" wrapText="1"/>
    </xf>
    <xf numFmtId="168" fontId="6" fillId="20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/>
    </xf>
    <xf numFmtId="0" fontId="21" fillId="18" borderId="0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 wrapText="1"/>
    </xf>
    <xf numFmtId="0" fontId="26" fillId="23" borderId="1" applyAlignment="1" pivotButton="0" quotePrefix="0" xfId="0">
      <alignment horizontal="left" vertical="center" wrapText="1"/>
    </xf>
    <xf numFmtId="0" fontId="27" fillId="24" borderId="1" applyAlignment="1" pivotButton="0" quotePrefix="0" xfId="0">
      <alignment horizontal="center" vertical="center" wrapText="1"/>
    </xf>
    <xf numFmtId="0" fontId="28" fillId="24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30" fillId="21" borderId="1" applyAlignment="1" pivotButton="0" quotePrefix="0" xfId="0">
      <alignment horizontal="left" vertical="center" wrapText="1"/>
    </xf>
    <xf numFmtId="167" fontId="13" fillId="7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center" vertical="center" wrapText="1"/>
    </xf>
    <xf numFmtId="171" fontId="13" fillId="7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center" vertical="center" wrapText="1"/>
    </xf>
    <xf numFmtId="172" fontId="14" fillId="8" borderId="1" applyAlignment="1" pivotButton="0" quotePrefix="0" xfId="0">
      <alignment horizontal="center" vertical="center" wrapText="1"/>
    </xf>
    <xf numFmtId="173" fontId="14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72" fontId="31" fillId="24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23" fillId="25" borderId="5" applyAlignment="1" pivotButton="0" quotePrefix="0" xfId="0">
      <alignment horizontal="left" vertical="center" wrapText="1"/>
    </xf>
    <xf numFmtId="0" fontId="23" fillId="25" borderId="5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23" fillId="4" borderId="5" applyAlignment="1" pivotButton="0" quotePrefix="0" xfId="0">
      <alignment horizontal="left" vertical="center" wrapText="1"/>
    </xf>
    <xf numFmtId="0" fontId="23" fillId="4" borderId="5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left" vertical="center" wrapText="1"/>
    </xf>
    <xf numFmtId="0" fontId="23" fillId="25" borderId="1" applyAlignment="1" pivotButton="0" quotePrefix="0" xfId="0">
      <alignment horizontal="center" vertical="center" wrapText="1"/>
    </xf>
    <xf numFmtId="0" fontId="32" fillId="25" borderId="5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center" vertical="center" wrapText="1"/>
    </xf>
    <xf numFmtId="0" fontId="32" fillId="4" borderId="5" applyAlignment="1" pivotButton="0" quotePrefix="0" xfId="0">
      <alignment horizontal="left" vertical="center" wrapText="1"/>
    </xf>
    <xf numFmtId="0" fontId="23" fillId="26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center" vertical="center" wrapText="1"/>
    </xf>
    <xf numFmtId="0" fontId="15" fillId="19" borderId="0" applyAlignment="1" pivotButton="0" quotePrefix="0" xfId="0">
      <alignment horizontal="left" vertical="center" wrapText="1"/>
    </xf>
    <xf numFmtId="0" fontId="15" fillId="20" borderId="0" applyAlignment="1" pivotButton="0" quotePrefix="0" xfId="0">
      <alignment horizontal="left" vertical="center" wrapText="1"/>
    </xf>
    <xf numFmtId="0" fontId="22" fillId="25" borderId="5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2" fillId="4" borderId="5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172" fontId="34" fillId="24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32" fillId="21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35" fillId="5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36" fillId="22" borderId="1" applyAlignment="1" pivotButton="0" quotePrefix="0" xfId="0">
      <alignment horizontal="left" vertical="center" wrapText="1"/>
    </xf>
    <xf numFmtId="0" fontId="30" fillId="21" borderId="1" applyAlignment="1" pivotButton="0" quotePrefix="0" xfId="0">
      <alignment horizontal="center" vertical="center" wrapText="1"/>
    </xf>
    <xf numFmtId="0" fontId="37" fillId="21" borderId="1" applyAlignment="1" pivotButton="0" quotePrefix="0" xfId="0">
      <alignment horizontal="center" vertical="center" wrapText="1"/>
    </xf>
    <xf numFmtId="167" fontId="17" fillId="21" borderId="1" applyAlignment="1" pivotButton="0" quotePrefix="0" xfId="0">
      <alignment horizontal="center" vertical="center" wrapText="1"/>
    </xf>
    <xf numFmtId="167" fontId="30" fillId="21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center" vertical="center" wrapText="1"/>
    </xf>
    <xf numFmtId="167" fontId="17" fillId="4" borderId="1" applyAlignment="1" pivotButton="0" quotePrefix="0" xfId="0">
      <alignment horizontal="center" vertical="center" wrapText="1"/>
    </xf>
    <xf numFmtId="167" fontId="30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49" fontId="17" fillId="21" borderId="1" applyAlignment="1" pivotButton="0" quotePrefix="0" xfId="0">
      <alignment horizontal="center" vertical="center" wrapText="1"/>
    </xf>
    <xf numFmtId="49" fontId="17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167" fontId="34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23" fillId="25" borderId="1" applyAlignment="1" pivotButton="0" quotePrefix="0" xfId="0">
      <alignment horizontal="center" vertical="center"/>
    </xf>
    <xf numFmtId="170" fontId="23" fillId="25" borderId="1" applyAlignment="1" pivotButton="0" quotePrefix="0" xfId="0">
      <alignment horizontal="center" vertical="center"/>
    </xf>
    <xf numFmtId="174" fontId="23" fillId="25" borderId="1" applyAlignment="1" pivotButton="0" quotePrefix="0" xfId="0">
      <alignment horizontal="center" vertical="center"/>
    </xf>
    <xf numFmtId="167" fontId="23" fillId="25" borderId="1" applyAlignment="1" pivotButton="0" quotePrefix="0" xfId="0">
      <alignment horizontal="center" vertical="center"/>
    </xf>
    <xf numFmtId="0" fontId="23" fillId="25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170" fontId="23" fillId="4" borderId="1" applyAlignment="1" pivotButton="0" quotePrefix="0" xfId="0">
      <alignment horizontal="center" vertical="center"/>
    </xf>
    <xf numFmtId="174" fontId="23" fillId="4" borderId="1" applyAlignment="1" pivotButton="0" quotePrefix="0" xfId="0">
      <alignment horizontal="center" vertical="center"/>
    </xf>
    <xf numFmtId="167" fontId="2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70" fontId="6" fillId="11" borderId="1" applyAlignment="1" pivotButton="0" quotePrefix="0" xfId="0">
      <alignment horizontal="center" vertical="center"/>
    </xf>
    <xf numFmtId="174" fontId="6" fillId="11" borderId="1" applyAlignment="1" pivotButton="0" quotePrefix="0" xfId="0">
      <alignment horizontal="center" vertical="center"/>
    </xf>
    <xf numFmtId="167" fontId="6" fillId="11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170" fontId="22" fillId="7" borderId="1" applyAlignment="1" pivotButton="0" quotePrefix="0" xfId="0">
      <alignment horizontal="center" vertical="center"/>
    </xf>
    <xf numFmtId="167" fontId="22" fillId="7" borderId="1" applyAlignment="1" pivotButton="0" quotePrefix="0" xfId="0">
      <alignment horizontal="center" vertical="center"/>
    </xf>
    <xf numFmtId="174" fontId="22" fillId="7" borderId="1" applyAlignment="1" pivotButton="0" quotePrefix="0" xfId="0">
      <alignment horizontal="center" vertical="center"/>
    </xf>
    <xf numFmtId="174" fontId="22" fillId="25" borderId="1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/>
    </xf>
    <xf numFmtId="174" fontId="22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left" vertical="center"/>
    </xf>
    <xf numFmtId="175" fontId="22" fillId="22" borderId="1" applyAlignment="1" pivotButton="0" quotePrefix="0" xfId="0">
      <alignment horizontal="center" vertical="center"/>
    </xf>
    <xf numFmtId="170" fontId="22" fillId="22" borderId="1" applyAlignment="1" pivotButton="0" quotePrefix="0" xfId="0">
      <alignment horizontal="center" vertical="center"/>
    </xf>
    <xf numFmtId="167" fontId="22" fillId="22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175" fontId="23" fillId="4" borderId="1" applyAlignment="1" pivotButton="0" quotePrefix="0" xfId="0">
      <alignment horizontal="center" vertical="center"/>
    </xf>
    <xf numFmtId="175" fontId="23" fillId="25" borderId="1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 indent="14"/>
    </xf>
    <xf numFmtId="0" fontId="26" fillId="18" borderId="5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left" vertical="center" wrapText="1"/>
    </xf>
    <xf numFmtId="0" fontId="6" fillId="18" borderId="5" applyAlignment="1" pivotButton="0" quotePrefix="0" xfId="0">
      <alignment horizontal="center" vertical="center" wrapText="1"/>
    </xf>
    <xf numFmtId="170" fontId="17" fillId="4" borderId="1" applyAlignment="1" pivotButton="0" quotePrefix="0" xfId="0">
      <alignment horizontal="center" vertical="center" wrapText="1"/>
    </xf>
    <xf numFmtId="170" fontId="17" fillId="21" borderId="1" applyAlignment="1" pivotButton="0" quotePrefix="0" xfId="0">
      <alignment horizontal="center" vertical="center" wrapText="1"/>
    </xf>
    <xf numFmtId="171" fontId="11" fillId="5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71" fontId="6" fillId="11" borderId="1" applyAlignment="1" pivotButton="0" quotePrefix="0" xfId="0">
      <alignment horizontal="center" vertical="center" wrapText="1"/>
    </xf>
    <xf numFmtId="0" fontId="6" fillId="18" borderId="5" applyAlignment="1" pivotButton="0" quotePrefix="0" xfId="0">
      <alignment horizontal="left" vertical="center" wrapText="1"/>
    </xf>
    <xf numFmtId="0" fontId="17" fillId="21" borderId="5" applyAlignment="1" pivotButton="0" quotePrefix="0" xfId="0">
      <alignment horizontal="left" vertical="center" wrapText="1"/>
    </xf>
    <xf numFmtId="0" fontId="17" fillId="4" borderId="5" applyAlignment="1" pivotButton="0" quotePrefix="0" xfId="0">
      <alignment horizontal="left" vertical="center" wrapText="1"/>
    </xf>
    <xf numFmtId="0" fontId="16" fillId="4" borderId="5" applyAlignment="1" pivotButton="0" quotePrefix="0" xfId="0">
      <alignment horizontal="left" vertical="center" wrapText="1"/>
    </xf>
    <xf numFmtId="0" fontId="16" fillId="21" borderId="5" applyAlignment="1" pivotButton="0" quotePrefix="0" xfId="0">
      <alignment horizontal="left" vertical="center" wrapText="1"/>
    </xf>
    <xf numFmtId="0" fontId="6" fillId="27" borderId="5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6" fillId="7" borderId="5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left" vertical="center" wrapText="1"/>
    </xf>
    <xf numFmtId="170" fontId="22" fillId="22" borderId="1" applyAlignment="1" pivotButton="0" quotePrefix="0" xfId="0">
      <alignment horizontal="center" vertical="center" wrapText="1"/>
    </xf>
    <xf numFmtId="170" fontId="25" fillId="28" borderId="1" applyAlignment="1" pivotButton="0" quotePrefix="0" xfId="0">
      <alignment horizontal="center" vertical="center" wrapText="1"/>
    </xf>
    <xf numFmtId="170" fontId="13" fillId="24" borderId="1" applyAlignment="1" pivotButton="0" quotePrefix="0" xfId="0">
      <alignment horizontal="center" vertical="center" wrapText="1"/>
    </xf>
    <xf numFmtId="170" fontId="22" fillId="21" borderId="1" applyAlignment="1" pivotButton="0" quotePrefix="0" xfId="0">
      <alignment horizontal="center" vertical="center" wrapText="1"/>
    </xf>
    <xf numFmtId="170" fontId="14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3" fontId="22" fillId="22" borderId="1" applyAlignment="1" pivotButton="0" quotePrefix="0" xfId="0">
      <alignment horizontal="center" vertical="center" wrapText="1"/>
    </xf>
    <xf numFmtId="3" fontId="25" fillId="28" borderId="1" applyAlignment="1" pivotButton="0" quotePrefix="0" xfId="0">
      <alignment horizontal="center" vertical="center" wrapText="1"/>
    </xf>
    <xf numFmtId="3" fontId="13" fillId="2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3" fontId="22" fillId="21" borderId="1" applyAlignment="1" pivotButton="0" quotePrefix="0" xfId="0">
      <alignment horizontal="center" vertical="center" wrapText="1"/>
    </xf>
    <xf numFmtId="0" fontId="23" fillId="21" borderId="1" applyAlignment="1" pivotButton="0" quotePrefix="0" xfId="0">
      <alignment horizontal="center" vertical="center" wrapText="1"/>
    </xf>
    <xf numFmtId="0" fontId="23" fillId="28" borderId="1" applyAlignment="1" pivotButton="0" quotePrefix="0" xfId="0">
      <alignment horizontal="center" vertical="center" wrapText="1"/>
    </xf>
    <xf numFmtId="0" fontId="23" fillId="24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171" fontId="22" fillId="22" borderId="1" applyAlignment="1" pivotButton="0" quotePrefix="0" xfId="0">
      <alignment horizontal="center" vertical="center" wrapText="1"/>
    </xf>
    <xf numFmtId="171" fontId="25" fillId="28" borderId="1" applyAlignment="1" pivotButton="0" quotePrefix="0" xfId="0">
      <alignment horizontal="center" vertical="center" wrapText="1"/>
    </xf>
    <xf numFmtId="171" fontId="13" fillId="24" borderId="1" applyAlignment="1" pivotButton="0" quotePrefix="0" xfId="0">
      <alignment horizontal="center" vertical="center" wrapText="1"/>
    </xf>
    <xf numFmtId="171" fontId="22" fillId="21" borderId="1" applyAlignment="1" pivotButton="0" quotePrefix="0" xfId="0">
      <alignment horizontal="center" vertical="center" wrapText="1"/>
    </xf>
    <xf numFmtId="171" fontId="14" fillId="8" borderId="1" applyAlignment="1" pivotButton="0" quotePrefix="0" xfId="0">
      <alignment horizontal="center" vertical="center" wrapText="1"/>
    </xf>
    <xf numFmtId="171" fontId="22" fillId="4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left" vertical="center" wrapText="1"/>
    </xf>
    <xf numFmtId="0" fontId="23" fillId="21" borderId="1" applyAlignment="1" pivotButton="0" quotePrefix="0" xfId="0">
      <alignment horizontal="left" vertical="center" wrapText="1"/>
    </xf>
    <xf numFmtId="0" fontId="25" fillId="28" borderId="1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24" fillId="22" borderId="1" applyAlignment="1" pivotButton="0" quotePrefix="0" xfId="0">
      <alignment horizontal="left" vertical="center" wrapText="1"/>
    </xf>
    <xf numFmtId="0" fontId="24" fillId="22" borderId="1" applyAlignment="1" pivotButton="0" quotePrefix="0" xfId="0">
      <alignment horizontal="center" vertical="center" wrapText="1"/>
    </xf>
    <xf numFmtId="3" fontId="24" fillId="22" borderId="1" applyAlignment="1" pivotButton="0" quotePrefix="0" xfId="0">
      <alignment horizontal="center" vertical="center" wrapText="1"/>
    </xf>
    <xf numFmtId="171" fontId="24" fillId="22" borderId="1" applyAlignment="1" pivotButton="0" quotePrefix="0" xfId="0">
      <alignment horizontal="center" vertical="center" wrapText="1"/>
    </xf>
    <xf numFmtId="0" fontId="25" fillId="28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left" vertical="center" wrapText="1"/>
    </xf>
    <xf numFmtId="0" fontId="39" fillId="8" borderId="1" applyAlignment="1" pivotButton="0" quotePrefix="0" xfId="0">
      <alignment horizontal="left" vertical="center" wrapText="1"/>
    </xf>
    <xf numFmtId="3" fontId="13" fillId="7" borderId="1" applyAlignment="1" pivotButton="0" quotePrefix="0" xfId="0">
      <alignment horizontal="center" vertical="center" wrapText="1"/>
    </xf>
    <xf numFmtId="0" fontId="16" fillId="4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4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68" fontId="11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6" fontId="9" fillId="6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 wrapText="1"/>
    </xf>
    <xf numFmtId="169" fontId="9" fillId="9" borderId="1" applyAlignment="1" pivotButton="0" quotePrefix="0" xfId="0">
      <alignment horizontal="center" vertical="center" wrapText="1"/>
    </xf>
    <xf numFmtId="164" fontId="14" fillId="8" borderId="1" applyAlignment="1" pivotButton="0" quotePrefix="0" xfId="0">
      <alignment horizontal="center" vertical="center" wrapText="1"/>
    </xf>
    <xf numFmtId="165" fontId="9" fillId="9" borderId="1" applyAlignment="1" pivotButton="0" quotePrefix="0" xfId="0">
      <alignment horizontal="center" vertical="center" wrapText="1"/>
    </xf>
    <xf numFmtId="166" fontId="9" fillId="9" borderId="1" applyAlignment="1" pivotButton="0" quotePrefix="0" xfId="0">
      <alignment horizontal="center" vertical="center" wrapText="1"/>
    </xf>
    <xf numFmtId="167" fontId="9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center" vertical="center" wrapText="1"/>
    </xf>
    <xf numFmtId="167" fontId="6" fillId="10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center" wrapText="1"/>
    </xf>
    <xf numFmtId="169" fontId="15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indent="2"/>
    </xf>
    <xf numFmtId="169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indent="2"/>
    </xf>
    <xf numFmtId="169" fontId="9" fillId="6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/>
    </xf>
    <xf numFmtId="169" fontId="8" fillId="1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indent="2"/>
    </xf>
    <xf numFmtId="169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indent="4"/>
    </xf>
    <xf numFmtId="0" fontId="9" fillId="4" borderId="1" applyAlignment="1" pivotButton="0" quotePrefix="0" xfId="0">
      <alignment horizontal="left" vertical="center" indent="4"/>
    </xf>
    <xf numFmtId="0" fontId="8" fillId="12" borderId="1" applyAlignment="1" pivotButton="0" quotePrefix="0" xfId="0">
      <alignment horizontal="left" vertical="center" indent="2"/>
    </xf>
    <xf numFmtId="0" fontId="8" fillId="6" borderId="1" applyAlignment="1" pivotButton="0" quotePrefix="0" xfId="0">
      <alignment horizontal="left" vertical="center" indent="2"/>
    </xf>
    <xf numFmtId="169" fontId="8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167" fontId="17" fillId="0" borderId="0" applyAlignment="1" pivotButton="0" quotePrefix="0" xfId="0">
      <alignment horizontal="center" vertical="center"/>
    </xf>
    <xf numFmtId="167" fontId="8" fillId="6" borderId="1" applyAlignment="1" pivotButton="0" quotePrefix="0" xfId="0">
      <alignment horizontal="center" vertical="center"/>
    </xf>
    <xf numFmtId="0" fontId="18" fillId="13" borderId="2" applyAlignment="1" pivotButton="0" quotePrefix="0" xfId="0">
      <alignment horizontal="left" vertical="center"/>
    </xf>
    <xf numFmtId="169" fontId="18" fillId="13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164" fontId="15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indent="14"/>
    </xf>
    <xf numFmtId="0" fontId="0" fillId="0" borderId="4" pivotButton="0" quotePrefix="0" xfId="0"/>
    <xf numFmtId="0" fontId="0" fillId="0" borderId="3" pivotButton="0" quotePrefix="0" xfId="0"/>
    <xf numFmtId="0" fontId="18" fillId="2" borderId="1" applyAlignment="1" pivotButton="0" quotePrefix="0" xfId="0">
      <alignment horizontal="left" vertical="center"/>
    </xf>
    <xf numFmtId="0" fontId="21" fillId="18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left" vertical="center"/>
    </xf>
    <xf numFmtId="3" fontId="23" fillId="21" borderId="1" applyAlignment="1" pivotButton="0" quotePrefix="0" xfId="0">
      <alignment horizontal="center" vertical="center" wrapText="1"/>
    </xf>
    <xf numFmtId="170" fontId="23" fillId="22" borderId="1" applyAlignment="1" pivotButton="0" quotePrefix="0" xfId="0">
      <alignment horizontal="center" vertical="center" wrapText="1"/>
    </xf>
    <xf numFmtId="168" fontId="24" fillId="22" borderId="1" applyAlignment="1" pivotButton="0" quotePrefix="0" xfId="0">
      <alignment horizontal="center" vertical="center" wrapText="1"/>
    </xf>
    <xf numFmtId="170" fontId="23" fillId="7" borderId="1" applyAlignment="1" pivotButton="0" quotePrefix="0" xfId="0">
      <alignment horizontal="center" vertical="center" wrapText="1"/>
    </xf>
    <xf numFmtId="168" fontId="13" fillId="7" borderId="1" applyAlignment="1" pivotButton="0" quotePrefix="0" xfId="0">
      <alignment horizontal="center" vertical="center" wrapText="1"/>
    </xf>
    <xf numFmtId="170" fontId="23" fillId="5" borderId="1" applyAlignment="1" pivotButton="0" quotePrefix="0" xfId="0">
      <alignment horizontal="center" vertical="center" wrapText="1"/>
    </xf>
    <xf numFmtId="168" fontId="25" fillId="5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/>
    </xf>
    <xf numFmtId="3" fontId="23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3" fontId="6" fillId="11" borderId="1" applyAlignment="1" pivotButton="0" quotePrefix="0" xfId="0">
      <alignment horizontal="center" vertical="center" wrapText="1"/>
    </xf>
    <xf numFmtId="170" fontId="6" fillId="18" borderId="1" applyAlignment="1" pivotButton="0" quotePrefix="0" xfId="0">
      <alignment horizontal="center" vertical="center" wrapText="1"/>
    </xf>
    <xf numFmtId="168" fontId="6" fillId="18" borderId="1" applyAlignment="1" pivotButton="0" quotePrefix="0" xfId="0">
      <alignment horizontal="center" vertical="center" wrapText="1"/>
    </xf>
    <xf numFmtId="170" fontId="6" fillId="19" borderId="1" applyAlignment="1" pivotButton="0" quotePrefix="0" xfId="0">
      <alignment horizontal="center" vertical="center" wrapText="1"/>
    </xf>
    <xf numFmtId="168" fontId="6" fillId="19" borderId="1" applyAlignment="1" pivotButton="0" quotePrefix="0" xfId="0">
      <alignment horizontal="center" vertical="center" wrapText="1"/>
    </xf>
    <xf numFmtId="170" fontId="6" fillId="20" borderId="1" applyAlignment="1" pivotButton="0" quotePrefix="0" xfId="0">
      <alignment horizontal="center" vertical="center" wrapText="1"/>
    </xf>
    <xf numFmtId="168" fontId="6" fillId="20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/>
    </xf>
    <xf numFmtId="0" fontId="21" fillId="18" borderId="0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 wrapText="1"/>
    </xf>
    <xf numFmtId="0" fontId="26" fillId="23" borderId="1" applyAlignment="1" pivotButton="0" quotePrefix="0" xfId="0">
      <alignment horizontal="left" vertical="center" wrapText="1"/>
    </xf>
    <xf numFmtId="0" fontId="27" fillId="24" borderId="1" applyAlignment="1" pivotButton="0" quotePrefix="0" xfId="0">
      <alignment horizontal="center" vertical="center" wrapText="1"/>
    </xf>
    <xf numFmtId="0" fontId="28" fillId="24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30" fillId="21" borderId="1" applyAlignment="1" pivotButton="0" quotePrefix="0" xfId="0">
      <alignment horizontal="left" vertical="center" wrapText="1"/>
    </xf>
    <xf numFmtId="167" fontId="13" fillId="7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center" vertical="center" wrapText="1"/>
    </xf>
    <xf numFmtId="171" fontId="13" fillId="7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center" vertical="center" wrapText="1"/>
    </xf>
    <xf numFmtId="172" fontId="14" fillId="8" borderId="1" applyAlignment="1" pivotButton="0" quotePrefix="0" xfId="0">
      <alignment horizontal="center" vertical="center" wrapText="1"/>
    </xf>
    <xf numFmtId="173" fontId="14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72" fontId="31" fillId="24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23" fillId="25" borderId="5" applyAlignment="1" pivotButton="0" quotePrefix="0" xfId="0">
      <alignment horizontal="left" vertical="center" wrapText="1"/>
    </xf>
    <xf numFmtId="0" fontId="23" fillId="25" borderId="5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23" fillId="4" borderId="5" applyAlignment="1" pivotButton="0" quotePrefix="0" xfId="0">
      <alignment horizontal="left" vertical="center" wrapText="1"/>
    </xf>
    <xf numFmtId="0" fontId="23" fillId="4" borderId="5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left" vertical="center" wrapText="1"/>
    </xf>
    <xf numFmtId="0" fontId="23" fillId="25" borderId="1" applyAlignment="1" pivotButton="0" quotePrefix="0" xfId="0">
      <alignment horizontal="center" vertical="center" wrapText="1"/>
    </xf>
    <xf numFmtId="0" fontId="32" fillId="25" borderId="5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center" vertical="center" wrapText="1"/>
    </xf>
    <xf numFmtId="0" fontId="32" fillId="4" borderId="5" applyAlignment="1" pivotButton="0" quotePrefix="0" xfId="0">
      <alignment horizontal="left" vertical="center" wrapText="1"/>
    </xf>
    <xf numFmtId="0" fontId="23" fillId="26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center" vertical="center" wrapText="1"/>
    </xf>
    <xf numFmtId="0" fontId="15" fillId="19" borderId="0" applyAlignment="1" pivotButton="0" quotePrefix="0" xfId="0">
      <alignment horizontal="left" vertical="center" wrapText="1"/>
    </xf>
    <xf numFmtId="0" fontId="15" fillId="20" borderId="0" applyAlignment="1" pivotButton="0" quotePrefix="0" xfId="0">
      <alignment horizontal="left" vertical="center" wrapText="1"/>
    </xf>
    <xf numFmtId="0" fontId="22" fillId="25" borderId="5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2" fillId="4" borderId="5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172" fontId="34" fillId="24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32" fillId="21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35" fillId="5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36" fillId="22" borderId="1" applyAlignment="1" pivotButton="0" quotePrefix="0" xfId="0">
      <alignment horizontal="left" vertical="center" wrapText="1"/>
    </xf>
    <xf numFmtId="0" fontId="30" fillId="21" borderId="1" applyAlignment="1" pivotButton="0" quotePrefix="0" xfId="0">
      <alignment horizontal="center" vertical="center" wrapText="1"/>
    </xf>
    <xf numFmtId="0" fontId="37" fillId="21" borderId="1" applyAlignment="1" pivotButton="0" quotePrefix="0" xfId="0">
      <alignment horizontal="center" vertical="center" wrapText="1"/>
    </xf>
    <xf numFmtId="167" fontId="17" fillId="21" borderId="1" applyAlignment="1" pivotButton="0" quotePrefix="0" xfId="0">
      <alignment horizontal="center" vertical="center" wrapText="1"/>
    </xf>
    <xf numFmtId="167" fontId="30" fillId="21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center" vertical="center" wrapText="1"/>
    </xf>
    <xf numFmtId="167" fontId="17" fillId="4" borderId="1" applyAlignment="1" pivotButton="0" quotePrefix="0" xfId="0">
      <alignment horizontal="center" vertical="center" wrapText="1"/>
    </xf>
    <xf numFmtId="167" fontId="30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49" fontId="17" fillId="21" borderId="1" applyAlignment="1" pivotButton="0" quotePrefix="0" xfId="0">
      <alignment horizontal="center" vertical="center" wrapText="1"/>
    </xf>
    <xf numFmtId="49" fontId="17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167" fontId="34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23" fillId="25" borderId="1" applyAlignment="1" pivotButton="0" quotePrefix="0" xfId="0">
      <alignment horizontal="center" vertical="center"/>
    </xf>
    <xf numFmtId="170" fontId="23" fillId="25" borderId="1" applyAlignment="1" pivotButton="0" quotePrefix="0" xfId="0">
      <alignment horizontal="center" vertical="center"/>
    </xf>
    <xf numFmtId="174" fontId="23" fillId="25" borderId="1" applyAlignment="1" pivotButton="0" quotePrefix="0" xfId="0">
      <alignment horizontal="center" vertical="center"/>
    </xf>
    <xf numFmtId="167" fontId="23" fillId="25" borderId="1" applyAlignment="1" pivotButton="0" quotePrefix="0" xfId="0">
      <alignment horizontal="center" vertical="center"/>
    </xf>
    <xf numFmtId="0" fontId="23" fillId="25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170" fontId="23" fillId="4" borderId="1" applyAlignment="1" pivotButton="0" quotePrefix="0" xfId="0">
      <alignment horizontal="center" vertical="center"/>
    </xf>
    <xf numFmtId="174" fontId="23" fillId="4" borderId="1" applyAlignment="1" pivotButton="0" quotePrefix="0" xfId="0">
      <alignment horizontal="center" vertical="center"/>
    </xf>
    <xf numFmtId="167" fontId="2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70" fontId="6" fillId="11" borderId="1" applyAlignment="1" pivotButton="0" quotePrefix="0" xfId="0">
      <alignment horizontal="center" vertical="center"/>
    </xf>
    <xf numFmtId="174" fontId="6" fillId="11" borderId="1" applyAlignment="1" pivotButton="0" quotePrefix="0" xfId="0">
      <alignment horizontal="center" vertical="center"/>
    </xf>
    <xf numFmtId="167" fontId="6" fillId="11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center"/>
    </xf>
    <xf numFmtId="170" fontId="22" fillId="7" borderId="1" applyAlignment="1" pivotButton="0" quotePrefix="0" xfId="0">
      <alignment horizontal="center" vertical="center"/>
    </xf>
    <xf numFmtId="167" fontId="22" fillId="7" borderId="1" applyAlignment="1" pivotButton="0" quotePrefix="0" xfId="0">
      <alignment horizontal="center" vertical="center"/>
    </xf>
    <xf numFmtId="174" fontId="22" fillId="7" borderId="1" applyAlignment="1" pivotButton="0" quotePrefix="0" xfId="0">
      <alignment horizontal="center" vertical="center"/>
    </xf>
    <xf numFmtId="174" fontId="22" fillId="25" borderId="1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/>
    </xf>
    <xf numFmtId="174" fontId="22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left" vertical="center"/>
    </xf>
    <xf numFmtId="175" fontId="22" fillId="22" borderId="1" applyAlignment="1" pivotButton="0" quotePrefix="0" xfId="0">
      <alignment horizontal="center" vertical="center"/>
    </xf>
    <xf numFmtId="170" fontId="22" fillId="22" borderId="1" applyAlignment="1" pivotButton="0" quotePrefix="0" xfId="0">
      <alignment horizontal="center" vertical="center"/>
    </xf>
    <xf numFmtId="167" fontId="22" fillId="22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175" fontId="23" fillId="4" borderId="1" applyAlignment="1" pivotButton="0" quotePrefix="0" xfId="0">
      <alignment horizontal="center" vertical="center"/>
    </xf>
    <xf numFmtId="175" fontId="23" fillId="25" borderId="1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 indent="14"/>
    </xf>
    <xf numFmtId="0" fontId="26" fillId="18" borderId="5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left" vertical="center" wrapText="1"/>
    </xf>
    <xf numFmtId="0" fontId="6" fillId="18" borderId="5" applyAlignment="1" pivotButton="0" quotePrefix="0" xfId="0">
      <alignment horizontal="center" vertical="center" wrapText="1"/>
    </xf>
    <xf numFmtId="170" fontId="17" fillId="4" borderId="1" applyAlignment="1" pivotButton="0" quotePrefix="0" xfId="0">
      <alignment horizontal="center" vertical="center" wrapText="1"/>
    </xf>
    <xf numFmtId="170" fontId="17" fillId="21" borderId="1" applyAlignment="1" pivotButton="0" quotePrefix="0" xfId="0">
      <alignment horizontal="center" vertical="center" wrapText="1"/>
    </xf>
    <xf numFmtId="171" fontId="11" fillId="5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71" fontId="6" fillId="11" borderId="1" applyAlignment="1" pivotButton="0" quotePrefix="0" xfId="0">
      <alignment horizontal="center" vertical="center" wrapText="1"/>
    </xf>
    <xf numFmtId="0" fontId="6" fillId="18" borderId="5" applyAlignment="1" pivotButton="0" quotePrefix="0" xfId="0">
      <alignment horizontal="left" vertical="center" wrapText="1"/>
    </xf>
    <xf numFmtId="0" fontId="17" fillId="21" borderId="5" applyAlignment="1" pivotButton="0" quotePrefix="0" xfId="0">
      <alignment horizontal="left" vertical="center" wrapText="1"/>
    </xf>
    <xf numFmtId="0" fontId="17" fillId="4" borderId="5" applyAlignment="1" pivotButton="0" quotePrefix="0" xfId="0">
      <alignment horizontal="left" vertical="center" wrapText="1"/>
    </xf>
    <xf numFmtId="0" fontId="16" fillId="4" borderId="5" applyAlignment="1" pivotButton="0" quotePrefix="0" xfId="0">
      <alignment horizontal="left" vertical="center" wrapText="1"/>
    </xf>
    <xf numFmtId="0" fontId="16" fillId="21" borderId="5" applyAlignment="1" pivotButton="0" quotePrefix="0" xfId="0">
      <alignment horizontal="left" vertical="center" wrapText="1"/>
    </xf>
    <xf numFmtId="0" fontId="6" fillId="27" borderId="5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6" fillId="7" borderId="5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left" vertical="center" wrapText="1"/>
    </xf>
    <xf numFmtId="170" fontId="22" fillId="22" borderId="1" applyAlignment="1" pivotButton="0" quotePrefix="0" xfId="0">
      <alignment horizontal="center" vertical="center" wrapText="1"/>
    </xf>
    <xf numFmtId="170" fontId="25" fillId="28" borderId="1" applyAlignment="1" pivotButton="0" quotePrefix="0" xfId="0">
      <alignment horizontal="center" vertical="center" wrapText="1"/>
    </xf>
    <xf numFmtId="170" fontId="13" fillId="24" borderId="1" applyAlignment="1" pivotButton="0" quotePrefix="0" xfId="0">
      <alignment horizontal="center" vertical="center" wrapText="1"/>
    </xf>
    <xf numFmtId="170" fontId="22" fillId="21" borderId="1" applyAlignment="1" pivotButton="0" quotePrefix="0" xfId="0">
      <alignment horizontal="center" vertical="center" wrapText="1"/>
    </xf>
    <xf numFmtId="170" fontId="14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3" fontId="22" fillId="22" borderId="1" applyAlignment="1" pivotButton="0" quotePrefix="0" xfId="0">
      <alignment horizontal="center" vertical="center" wrapText="1"/>
    </xf>
    <xf numFmtId="3" fontId="25" fillId="28" borderId="1" applyAlignment="1" pivotButton="0" quotePrefix="0" xfId="0">
      <alignment horizontal="center" vertical="center" wrapText="1"/>
    </xf>
    <xf numFmtId="3" fontId="13" fillId="2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3" fontId="22" fillId="21" borderId="1" applyAlignment="1" pivotButton="0" quotePrefix="0" xfId="0">
      <alignment horizontal="center" vertical="center" wrapText="1"/>
    </xf>
    <xf numFmtId="0" fontId="23" fillId="21" borderId="1" applyAlignment="1" pivotButton="0" quotePrefix="0" xfId="0">
      <alignment horizontal="center" vertical="center" wrapText="1"/>
    </xf>
    <xf numFmtId="0" fontId="23" fillId="28" borderId="1" applyAlignment="1" pivotButton="0" quotePrefix="0" xfId="0">
      <alignment horizontal="center" vertical="center" wrapText="1"/>
    </xf>
    <xf numFmtId="0" fontId="23" fillId="24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171" fontId="22" fillId="22" borderId="1" applyAlignment="1" pivotButton="0" quotePrefix="0" xfId="0">
      <alignment horizontal="center" vertical="center" wrapText="1"/>
    </xf>
    <xf numFmtId="171" fontId="25" fillId="28" borderId="1" applyAlignment="1" pivotButton="0" quotePrefix="0" xfId="0">
      <alignment horizontal="center" vertical="center" wrapText="1"/>
    </xf>
    <xf numFmtId="171" fontId="13" fillId="24" borderId="1" applyAlignment="1" pivotButton="0" quotePrefix="0" xfId="0">
      <alignment horizontal="center" vertical="center" wrapText="1"/>
    </xf>
    <xf numFmtId="171" fontId="22" fillId="21" borderId="1" applyAlignment="1" pivotButton="0" quotePrefix="0" xfId="0">
      <alignment horizontal="center" vertical="center" wrapText="1"/>
    </xf>
    <xf numFmtId="171" fontId="14" fillId="8" borderId="1" applyAlignment="1" pivotButton="0" quotePrefix="0" xfId="0">
      <alignment horizontal="center" vertical="center" wrapText="1"/>
    </xf>
    <xf numFmtId="171" fontId="22" fillId="4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left" vertical="center" wrapText="1"/>
    </xf>
    <xf numFmtId="0" fontId="23" fillId="21" borderId="1" applyAlignment="1" pivotButton="0" quotePrefix="0" xfId="0">
      <alignment horizontal="left" vertical="center" wrapText="1"/>
    </xf>
    <xf numFmtId="0" fontId="25" fillId="28" borderId="1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24" fillId="22" borderId="1" applyAlignment="1" pivotButton="0" quotePrefix="0" xfId="0">
      <alignment horizontal="left" vertical="center" wrapText="1"/>
    </xf>
    <xf numFmtId="0" fontId="24" fillId="22" borderId="1" applyAlignment="1" pivotButton="0" quotePrefix="0" xfId="0">
      <alignment horizontal="center" vertical="center" wrapText="1"/>
    </xf>
    <xf numFmtId="3" fontId="24" fillId="22" borderId="1" applyAlignment="1" pivotButton="0" quotePrefix="0" xfId="0">
      <alignment horizontal="center" vertical="center" wrapText="1"/>
    </xf>
    <xf numFmtId="171" fontId="24" fillId="22" borderId="1" applyAlignment="1" pivotButton="0" quotePrefix="0" xfId="0">
      <alignment horizontal="center" vertical="center" wrapText="1"/>
    </xf>
    <xf numFmtId="0" fontId="25" fillId="28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left" vertical="center" wrapText="1"/>
    </xf>
    <xf numFmtId="0" fontId="39" fillId="8" borderId="1" applyAlignment="1" pivotButton="0" quotePrefix="0" xfId="0">
      <alignment horizontal="left" vertical="center" wrapText="1"/>
    </xf>
    <xf numFmtId="3" fontId="13" fillId="7" borderId="1" applyAlignment="1" pivotButton="0" quotePrefix="0" xfId="0">
      <alignment horizontal="center" vertical="center" wrapText="1"/>
    </xf>
    <xf numFmtId="0" fontId="16" fillId="4" borderId="5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375623"/>
      <rgbColor rgb="FF000080"/>
      <rgbColor rgb="FF7F6000"/>
      <rgbColor rgb="FF800080"/>
      <rgbColor rgb="FF1F4E79"/>
      <rgbColor rgb="FFCCCCCC"/>
      <rgbColor rgb="FF888888"/>
      <rgbColor rgb="FF9999FF"/>
      <rgbColor rgb="FF595959"/>
      <rgbColor rgb="FFFFF2CC"/>
      <rgbColor rgb="FFEAF4FF"/>
      <rgbColor rgb="FF660066"/>
      <rgbColor rgb="FFE74C3C"/>
      <rgbColor rgb="FF2E75B6"/>
      <rgbColor rgb="FFD6E4F7"/>
      <rgbColor rgb="FF000080"/>
      <rgbColor rgb="FFFF00FF"/>
      <rgbColor rgb="FFF5F5F5"/>
      <rgbColor rgb="FF00FFFF"/>
      <rgbColor rgb="FF800080"/>
      <rgbColor rgb="FF800000"/>
      <rgbColor rgb="FF2E4A6B"/>
      <rgbColor rgb="FF0000FF"/>
      <rgbColor rgb="FF00CCFF"/>
      <rgbColor rgb="FFEBF3FC"/>
      <rgbColor rgb="FFE2EFDA"/>
      <rgbColor rgb="FFFFF8E7"/>
      <rgbColor rgb="FFC6E0B4"/>
      <rgbColor rgb="FFFCE4D6"/>
      <rgbColor rgb="FFDEEAF1"/>
      <rgbColor rgb="FFFFD966"/>
      <rgbColor rgb="FF3A7BD5"/>
      <rgbColor rgb="FF33CCCC"/>
      <rgbColor rgb="FF99CC00"/>
      <rgbColor rgb="FFFAE5D3"/>
      <rgbColor rgb="FFF39C12"/>
      <rgbColor rgb="FFED7D31"/>
      <rgbColor rgb="FF666666"/>
      <rgbColor rgb="FF70AD47"/>
      <rgbColor rgb="FF17375E"/>
      <rgbColor rgb="FF27AE60"/>
      <rgbColor rgb="FF1A3A5C"/>
      <rgbColor rgb="FF1F2D3D"/>
      <rgbColor rgb="FF843C0C"/>
      <rgbColor rgb="FF993366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8" activeCellId="0" sqref="R8"/>
    </sheetView>
  </sheetViews>
  <sheetFormatPr baseColWidth="8" defaultColWidth="8.71484375" defaultRowHeight="15" zeroHeight="0" outlineLevelRow="0"/>
  <cols>
    <col width="12" customWidth="1" style="272" min="1" max="1"/>
    <col width="9" customWidth="1" style="272" min="2" max="2"/>
    <col width="12" customWidth="1" style="272" min="3" max="6"/>
    <col width="9" customWidth="1" style="272" min="7" max="15"/>
    <col width="15" customWidth="1" style="272" min="16" max="17"/>
    <col width="17" customWidth="1" style="272" min="18" max="18"/>
  </cols>
  <sheetData>
    <row r="1" ht="36" customHeight="1" s="273">
      <c r="A1" s="274" t="inlineStr">
        <is>
          <t>|  OPERATIONS &amp; FINANCIAL DASHBOARD  (Apr 2025 – Mar 2026)</t>
        </is>
      </c>
    </row>
    <row r="2" ht="6" customHeight="1" s="273"/>
    <row r="3" ht="13.5" customHeight="1" s="273">
      <c r="A3" s="275" t="inlineStr">
        <is>
          <t>Source: Actual P&amp;Ls, Master Load Logs, Payroll Files, Trafigura Invoices  |  Forecast: Mar 2026 based on 30-day actuals (through Mar 30)  |  Mar 2026 costs from Mar P&amp;L Forecast tab</t>
        </is>
      </c>
    </row>
    <row r="4" ht="39.75" customHeight="1" s="273">
      <c r="A4" s="276" t="inlineStr">
        <is>
          <t>Month</t>
        </is>
      </c>
      <c r="B4" s="276" t="inlineStr">
        <is>
          <t>Headcount</t>
        </is>
      </c>
      <c r="C4" s="276" t="inlineStr">
        <is>
          <t>Operating
Revenue ($)</t>
        </is>
      </c>
      <c r="D4" s="276" t="inlineStr">
        <is>
          <t>Operating
Cost ($)</t>
        </is>
      </c>
      <c r="E4" s="276" t="inlineStr">
        <is>
          <t>EBITDA ($)</t>
        </is>
      </c>
      <c r="F4" s="276" t="inlineStr">
        <is>
          <t>Net
Income ($)</t>
        </is>
      </c>
      <c r="G4" s="276" t="inlineStr">
        <is>
          <t>Total
Barrels</t>
        </is>
      </c>
      <c r="H4" s="276" t="inlineStr">
        <is>
          <t>Bbls /
Day</t>
        </is>
      </c>
      <c r="I4" s="276" t="inlineStr">
        <is>
          <t>Trucks /
Day</t>
        </is>
      </c>
      <c r="J4" s="276" t="inlineStr">
        <is>
          <t>Total
Trucks</t>
        </is>
      </c>
      <c r="K4" s="276" t="inlineStr">
        <is>
          <t>Revenue /
Bbl ($)</t>
        </is>
      </c>
      <c r="L4" s="276" t="inlineStr">
        <is>
          <t>Cost /
Bbl ($)</t>
        </is>
      </c>
      <c r="M4" s="276" t="inlineStr">
        <is>
          <t>EBITDA /
Bbl ($)</t>
        </is>
      </c>
      <c r="N4" s="277" t="inlineStr">
        <is>
          <t>Adj Pump
Util %*</t>
        </is>
      </c>
      <c r="O4" s="277" t="inlineStr">
        <is>
          <t>Rail
Cap / Day**</t>
        </is>
      </c>
      <c r="P4" s="278" t="n"/>
    </row>
    <row r="5" ht="15.75" customHeight="1" s="273">
      <c r="A5" s="279" t="inlineStr">
        <is>
          <t>Apr 2025</t>
        </is>
      </c>
      <c r="B5" s="280" t="n">
        <v>4</v>
      </c>
      <c r="C5" s="281" t="n">
        <v>84059.48</v>
      </c>
      <c r="D5" s="281" t="n">
        <v>169781.48</v>
      </c>
      <c r="E5" s="282" t="n">
        <v>-86145.86</v>
      </c>
      <c r="F5" s="283" t="n">
        <v>-86145.86</v>
      </c>
      <c r="G5" s="284" t="n">
        <v>36041</v>
      </c>
      <c r="H5" s="284" t="n">
        <v>1201</v>
      </c>
      <c r="I5" s="285" t="n">
        <v>6.1</v>
      </c>
      <c r="J5" s="284" t="n">
        <v>184</v>
      </c>
      <c r="K5" s="286" t="n">
        <v>2.33</v>
      </c>
      <c r="L5" s="286" t="n">
        <v>4.71</v>
      </c>
      <c r="M5" s="286" t="n">
        <v>-2.39</v>
      </c>
      <c r="N5" s="287" t="inlineStr">
        <is>
          <t>—</t>
        </is>
      </c>
      <c r="O5" s="288" t="n">
        <v>0.0800666666666667</v>
      </c>
      <c r="P5" s="278" t="n"/>
    </row>
    <row r="6" ht="15.75" customHeight="1" s="273">
      <c r="A6" s="289" t="inlineStr">
        <is>
          <t>May 2025</t>
        </is>
      </c>
      <c r="B6" s="290" t="n">
        <v>4</v>
      </c>
      <c r="C6" s="291" t="n">
        <v>85594.5</v>
      </c>
      <c r="D6" s="291" t="n">
        <v>76686.72</v>
      </c>
      <c r="E6" s="291" t="n">
        <v>7950.54</v>
      </c>
      <c r="F6" s="292" t="n">
        <v>7950.54</v>
      </c>
      <c r="G6" s="293" t="n">
        <v>95027</v>
      </c>
      <c r="H6" s="293" t="n">
        <v>3066</v>
      </c>
      <c r="I6" s="294" t="n">
        <v>15.6</v>
      </c>
      <c r="J6" s="293" t="n">
        <v>485</v>
      </c>
      <c r="K6" s="295" t="n">
        <v>0.9</v>
      </c>
      <c r="L6" s="295" t="n">
        <v>0.8100000000000001</v>
      </c>
      <c r="M6" s="295" t="n">
        <v>0.08</v>
      </c>
      <c r="N6" s="288" t="n">
        <v>0.006</v>
      </c>
      <c r="O6" s="288" t="n">
        <v>0.2044</v>
      </c>
      <c r="P6" s="278" t="n"/>
    </row>
    <row r="7" ht="15.75" customHeight="1" s="273">
      <c r="A7" s="279" t="inlineStr">
        <is>
          <t>Jun 2025</t>
        </is>
      </c>
      <c r="B7" s="280" t="n">
        <v>6</v>
      </c>
      <c r="C7" s="281" t="n">
        <v>141001.36</v>
      </c>
      <c r="D7" s="281" t="n">
        <v>163036.53</v>
      </c>
      <c r="E7" s="282" t="n">
        <v>-23345.8</v>
      </c>
      <c r="F7" s="283" t="n">
        <v>-23345.8</v>
      </c>
      <c r="G7" s="284" t="n">
        <v>141709</v>
      </c>
      <c r="H7" s="284" t="n">
        <v>4724</v>
      </c>
      <c r="I7" s="285" t="n">
        <v>24.1</v>
      </c>
      <c r="J7" s="284" t="n">
        <v>723</v>
      </c>
      <c r="K7" s="286" t="n">
        <v>1</v>
      </c>
      <c r="L7" s="286" t="n">
        <v>1.15</v>
      </c>
      <c r="M7" s="286" t="n">
        <v>-0.16</v>
      </c>
      <c r="N7" s="287" t="inlineStr">
        <is>
          <t>—</t>
        </is>
      </c>
      <c r="O7" s="288" t="n">
        <v>0.314933333333333</v>
      </c>
      <c r="P7" s="278" t="n"/>
    </row>
    <row r="8" ht="15.75" customHeight="1" s="273">
      <c r="A8" s="289" t="inlineStr">
        <is>
          <t>Jul 2025</t>
        </is>
      </c>
      <c r="B8" s="290" t="n">
        <v>8</v>
      </c>
      <c r="C8" s="291" t="n">
        <v>233009.82</v>
      </c>
      <c r="D8" s="291" t="n">
        <v>207679.45</v>
      </c>
      <c r="E8" s="291" t="n">
        <v>22968.16</v>
      </c>
      <c r="F8" s="292" t="n">
        <v>22968.16</v>
      </c>
      <c r="G8" s="293" t="n">
        <v>169856</v>
      </c>
      <c r="H8" s="293" t="n">
        <v>5479</v>
      </c>
      <c r="I8" s="294" t="n">
        <v>16.7</v>
      </c>
      <c r="J8" s="293" t="n">
        <v>866</v>
      </c>
      <c r="K8" s="295" t="n">
        <v>1.37</v>
      </c>
      <c r="L8" s="295" t="n">
        <v>1.22</v>
      </c>
      <c r="M8" s="295" t="n">
        <v>0.14</v>
      </c>
      <c r="N8" s="288" t="n">
        <v>0.271</v>
      </c>
      <c r="O8" s="288" t="n">
        <v>0.365266666666667</v>
      </c>
      <c r="P8" s="278" t="n"/>
    </row>
    <row r="9" ht="15.75" customHeight="1" s="273">
      <c r="A9" s="279" t="inlineStr">
        <is>
          <t>Aug 2025</t>
        </is>
      </c>
      <c r="B9" s="280" t="n">
        <v>10</v>
      </c>
      <c r="C9" s="281" t="n">
        <v>284021.38</v>
      </c>
      <c r="D9" s="281" t="n">
        <v>299476.01</v>
      </c>
      <c r="E9" s="281" t="n">
        <v>-20414.92</v>
      </c>
      <c r="F9" s="283" t="n">
        <v>-20414.92</v>
      </c>
      <c r="G9" s="284" t="n">
        <v>292714</v>
      </c>
      <c r="H9" s="284" t="n">
        <v>9443</v>
      </c>
      <c r="I9" s="285" t="n">
        <v>30.4</v>
      </c>
      <c r="J9" s="284" t="n">
        <v>1493</v>
      </c>
      <c r="K9" s="286" t="n">
        <v>0.97</v>
      </c>
      <c r="L9" s="286" t="n">
        <v>1.02</v>
      </c>
      <c r="M9" s="286" t="n">
        <v>-0.07000000000000001</v>
      </c>
      <c r="N9" s="296" t="n">
        <v>0.5600000000000001</v>
      </c>
      <c r="O9" s="296" t="n">
        <v>0.6295333333333329</v>
      </c>
      <c r="P9" s="278" t="n"/>
    </row>
    <row r="10" ht="15.75" customHeight="1" s="273">
      <c r="A10" s="289" t="inlineStr">
        <is>
          <t>Sep 2025</t>
        </is>
      </c>
      <c r="B10" s="290" t="n">
        <v>12</v>
      </c>
      <c r="C10" s="291" t="n">
        <v>345382.18</v>
      </c>
      <c r="D10" s="291" t="n">
        <v>314889.15</v>
      </c>
      <c r="E10" s="291" t="n">
        <v>19707.8</v>
      </c>
      <c r="F10" s="292" t="n">
        <v>19707.8</v>
      </c>
      <c r="G10" s="293" t="n">
        <v>241480</v>
      </c>
      <c r="H10" s="293" t="n">
        <v>8049</v>
      </c>
      <c r="I10" s="294" t="n">
        <v>41.1</v>
      </c>
      <c r="J10" s="293" t="n">
        <v>1232</v>
      </c>
      <c r="K10" s="295" t="n">
        <v>1.43</v>
      </c>
      <c r="L10" s="295" t="n">
        <v>1.3</v>
      </c>
      <c r="M10" s="295" t="n">
        <v>0.08</v>
      </c>
      <c r="N10" s="296" t="n">
        <v>0.458</v>
      </c>
      <c r="O10" s="296" t="n">
        <v>0.5366</v>
      </c>
      <c r="P10" s="278" t="n"/>
    </row>
    <row r="11" ht="15.75" customHeight="1" s="273">
      <c r="A11" s="279" t="inlineStr">
        <is>
          <t>Oct 2025</t>
        </is>
      </c>
      <c r="B11" s="280" t="n">
        <v>12</v>
      </c>
      <c r="C11" s="281" t="n">
        <v>231889.91</v>
      </c>
      <c r="D11" s="281" t="n">
        <v>435995.82</v>
      </c>
      <c r="E11" s="282" t="n">
        <v>-205270.59</v>
      </c>
      <c r="F11" s="283" t="n">
        <v>-205270.59</v>
      </c>
      <c r="G11" s="284" t="n">
        <v>220569</v>
      </c>
      <c r="H11" s="284" t="n">
        <v>7115</v>
      </c>
      <c r="I11" s="285" t="n">
        <v>22.9</v>
      </c>
      <c r="J11" s="284" t="n">
        <v>1125</v>
      </c>
      <c r="K11" s="286" t="n">
        <v>1.05</v>
      </c>
      <c r="L11" s="286" t="n">
        <v>1.98</v>
      </c>
      <c r="M11" s="286" t="n">
        <v>-0.93</v>
      </c>
      <c r="N11" s="288" t="n">
        <v>0.397</v>
      </c>
      <c r="O11" s="288" t="n">
        <v>0.474333333333333</v>
      </c>
      <c r="P11" s="278" t="n"/>
    </row>
    <row r="12" ht="15.75" customHeight="1" s="273">
      <c r="A12" s="289" t="inlineStr">
        <is>
          <t>Nov 2025</t>
        </is>
      </c>
      <c r="B12" s="290" t="n">
        <v>12</v>
      </c>
      <c r="C12" s="291" t="n">
        <v>219082.57</v>
      </c>
      <c r="D12" s="291" t="n">
        <v>274936.26</v>
      </c>
      <c r="E12" s="297" t="n">
        <v>-61267.29</v>
      </c>
      <c r="F12" s="283" t="n">
        <v>-61267.29</v>
      </c>
      <c r="G12" s="293" t="n">
        <v>176502</v>
      </c>
      <c r="H12" s="293" t="n">
        <v>5883</v>
      </c>
      <c r="I12" s="294" t="n">
        <v>18.2</v>
      </c>
      <c r="J12" s="293" t="n">
        <v>901</v>
      </c>
      <c r="K12" s="295" t="n">
        <v>1.24</v>
      </c>
      <c r="L12" s="295" t="n">
        <v>1.56</v>
      </c>
      <c r="M12" s="295" t="n">
        <v>-0.35</v>
      </c>
      <c r="N12" s="288" t="n">
        <v>0.329</v>
      </c>
      <c r="O12" s="288" t="n">
        <v>0.3922</v>
      </c>
      <c r="P12" s="278" t="n"/>
    </row>
    <row r="13" ht="15.75" customHeight="1" s="273">
      <c r="A13" s="279" t="inlineStr">
        <is>
          <t>Dec 2025</t>
        </is>
      </c>
      <c r="B13" s="280" t="n">
        <v>12</v>
      </c>
      <c r="C13" s="281" t="n">
        <v>265411.9</v>
      </c>
      <c r="D13" s="281" t="n">
        <v>-150595.85</v>
      </c>
      <c r="E13" s="281" t="n">
        <v>299307.88</v>
      </c>
      <c r="F13" s="292" t="n">
        <v>299307.88</v>
      </c>
      <c r="G13" s="284" t="n">
        <v>195816</v>
      </c>
      <c r="H13" s="284" t="n">
        <v>6317</v>
      </c>
      <c r="I13" s="285" t="n">
        <v>20.4</v>
      </c>
      <c r="J13" s="284" t="n">
        <v>999</v>
      </c>
      <c r="K13" s="286" t="n">
        <v>1.36</v>
      </c>
      <c r="L13" s="286" t="n">
        <v>-0.77</v>
      </c>
      <c r="M13" s="286" t="n">
        <v>1.53</v>
      </c>
      <c r="N13" s="288" t="n">
        <v>0.333</v>
      </c>
      <c r="O13" s="288" t="n">
        <v>0.421133333333333</v>
      </c>
      <c r="P13" s="278" t="n"/>
    </row>
    <row r="14" ht="15.75" customHeight="1" s="273">
      <c r="A14" s="289" t="inlineStr">
        <is>
          <t>Jan 2026</t>
        </is>
      </c>
      <c r="B14" s="290" t="n">
        <v>12</v>
      </c>
      <c r="C14" s="291" t="n">
        <v>307918.66</v>
      </c>
      <c r="D14" s="291" t="n">
        <v>310402.29</v>
      </c>
      <c r="E14" s="291" t="n">
        <v>-5171.48</v>
      </c>
      <c r="F14" s="283" t="n">
        <v>-5171.48</v>
      </c>
      <c r="G14" s="293" t="n">
        <v>308000</v>
      </c>
      <c r="H14" s="293" t="n">
        <v>9936</v>
      </c>
      <c r="I14" s="294" t="n">
        <v>32</v>
      </c>
      <c r="J14" s="293" t="n">
        <v>1571</v>
      </c>
      <c r="K14" s="295" t="n">
        <v>1</v>
      </c>
      <c r="L14" s="295" t="n">
        <v>1.01</v>
      </c>
      <c r="M14" s="295" t="n">
        <v>-0.02</v>
      </c>
      <c r="N14" s="288" t="n">
        <v>0.315</v>
      </c>
      <c r="O14" s="296" t="n">
        <v>0.6624</v>
      </c>
      <c r="P14" s="278" t="n"/>
    </row>
    <row r="15" ht="15.75" customHeight="1" s="273">
      <c r="A15" s="279" t="inlineStr">
        <is>
          <t>Feb 2026</t>
        </is>
      </c>
      <c r="B15" s="280" t="n">
        <v>13</v>
      </c>
      <c r="C15" s="281" t="n">
        <v>344761.32</v>
      </c>
      <c r="D15" s="281" t="n">
        <v>234498.18</v>
      </c>
      <c r="E15" s="281" t="n">
        <v>102949.81</v>
      </c>
      <c r="F15" s="292" t="n">
        <v>102949.81</v>
      </c>
      <c r="G15" s="284" t="n">
        <v>313600</v>
      </c>
      <c r="H15" s="284" t="n">
        <v>11200</v>
      </c>
      <c r="I15" s="285" t="n">
        <v>57.1</v>
      </c>
      <c r="J15" s="284" t="n">
        <v>1600</v>
      </c>
      <c r="K15" s="286" t="n">
        <v>1.1</v>
      </c>
      <c r="L15" s="286" t="n">
        <v>0.75</v>
      </c>
      <c r="M15" s="286" t="n">
        <v>0.33</v>
      </c>
      <c r="N15" s="296" t="n">
        <v>0.439</v>
      </c>
      <c r="O15" s="296" t="n">
        <v>0.746666666666667</v>
      </c>
      <c r="P15" s="278" t="n"/>
    </row>
    <row r="16" ht="15.75" customHeight="1" s="273">
      <c r="A16" s="298" t="inlineStr">
        <is>
          <t>Mar 2026†</t>
        </is>
      </c>
      <c r="B16" s="299" t="n">
        <v>14</v>
      </c>
      <c r="C16" s="300" t="n">
        <v>356011.03</v>
      </c>
      <c r="D16" s="301" t="n">
        <v>244583.52</v>
      </c>
      <c r="E16" s="301" t="n">
        <v>111427.51</v>
      </c>
      <c r="F16" s="302" t="n">
        <v>111427.51</v>
      </c>
      <c r="G16" s="303" t="n">
        <v>319681</v>
      </c>
      <c r="H16" s="303" t="n">
        <v>10312.3</v>
      </c>
      <c r="I16" s="304" t="n">
        <v>51.6</v>
      </c>
      <c r="J16" s="303" t="n">
        <v>1600</v>
      </c>
      <c r="K16" s="305" t="n">
        <v>1.11</v>
      </c>
      <c r="L16" s="305" t="n">
        <v>0.765</v>
      </c>
      <c r="M16" s="305" t="n">
        <v>0.349</v>
      </c>
      <c r="N16" s="288" t="n">
        <v>0.321</v>
      </c>
      <c r="O16" s="296" t="n">
        <v>0.687487</v>
      </c>
      <c r="P16" s="278" t="n"/>
    </row>
    <row r="17" ht="19.5" customHeight="1" s="273">
      <c r="A17" s="306" t="inlineStr">
        <is>
          <t>TOTAL / AVG</t>
        </is>
      </c>
      <c r="B17" s="307">
        <f>B16</f>
        <v/>
      </c>
      <c r="C17" s="308">
        <f>SUM(C5:C16)</f>
        <v/>
      </c>
      <c r="D17" s="308">
        <f>SUM(D5:D16)</f>
        <v/>
      </c>
      <c r="E17" s="308">
        <f>SUM(E5:E16)</f>
        <v/>
      </c>
      <c r="F17" s="309">
        <f>SUM(F5:F16)</f>
        <v/>
      </c>
      <c r="G17" s="310">
        <f>SUM(F5:F16)</f>
        <v/>
      </c>
      <c r="H17" s="310">
        <f>AVERAGE(G5:G16)</f>
        <v/>
      </c>
      <c r="I17" s="311">
        <f>AVERAGE(H5:H16)</f>
        <v/>
      </c>
      <c r="J17" s="310">
        <f>SUM(I5:I16)</f>
        <v/>
      </c>
      <c r="K17" s="312">
        <f>AVERAGE(J5:J16)</f>
        <v/>
      </c>
      <c r="L17" s="312">
        <f>AVERAGE(K5:K16)</f>
        <v/>
      </c>
      <c r="M17" s="312">
        <f>AVERAGE(L5:L16)</f>
        <v/>
      </c>
      <c r="N17" s="313">
        <f>AVERAGE(M5:M16)</f>
        <v/>
      </c>
      <c r="O17" s="314" t="inlineStr">
        <is>
          <t>—</t>
        </is>
      </c>
      <c r="P17" s="278" t="n"/>
    </row>
    <row r="18" ht="6" customHeight="1" s="273">
      <c r="A18" s="315" t="inlineStr">
        <is>
          <t>† Mar 2026 = FORECAST based on 30-day actuals (10312.3 bbls/day avg) + steady run-rate through Mar 31. Actuals through Mar 30 from daily Cadiz Ops LOGS emails. Dec 2025 cost is negative due to 71k payroll reversal.
*  Adj Pump Util % = pump runtime hours ÷ true available hours (21 hrs/day).
**  % of Rail Cap/Day = avg bbls/day ÷ 15,000 bbl daily rail ceiling.</t>
        </is>
      </c>
    </row>
    <row r="19" ht="60" customHeight="1" s="273">
      <c r="A19" s="316" t="inlineStr">
        <is>
          <t>† Mar 2026 = FORECAST based on 19-day actuals (10,522 bbls/day avg) + steady run-rate through Mar 31. Actuals through Mar 19 from daily Cadiz Ops LOGS emails. Dec 2025 cost is negative due to 71k payroll reversal.
*  Adj Pump Util % = pump runtime hours ÷ true available hours (21 hrs/day).  True available = 24 hrs minus the 3-hr nightly railroad switch window during which pumps are idle.
**  % of Rail Cap/Day = avg bbls/day ÷ 15,000 bbl daily rail ceiling.</t>
        </is>
      </c>
    </row>
    <row r="20" ht="18" customHeight="1" s="273"/>
  </sheetData>
  <mergeCells count="3">
    <mergeCell ref="A3:R3"/>
    <mergeCell ref="A19:R19"/>
    <mergeCell ref="A1:R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42" customWidth="1" style="272" min="1" max="1"/>
    <col width="20" customWidth="1" style="272" min="2" max="3"/>
  </cols>
  <sheetData>
    <row r="1" ht="36" customHeight="1" s="273">
      <c r="A1" s="274" t="inlineStr">
        <is>
          <t>|  MARCH 2026 FORECASTED PROFIT &amp; LOSS  |  Accrual Basis</t>
        </is>
      </c>
    </row>
    <row r="2" ht="3.75" customHeight="1" s="273"/>
    <row r="3" ht="21.75" customHeight="1" s="273">
      <c r="A3" s="317" t="inlineStr">
        <is>
          <t>Account</t>
        </is>
      </c>
      <c r="B3" s="317" t="inlineStr">
        <is>
          <t>Mar 2026 (Forecast)</t>
        </is>
      </c>
      <c r="C3" s="317" t="inlineStr">
        <is>
          <t>Feb 2026 (Actual)</t>
        </is>
      </c>
    </row>
    <row r="4" ht="18" customHeight="1" s="273">
      <c r="A4" s="306" t="inlineStr">
        <is>
          <t>INCOME</t>
        </is>
      </c>
      <c r="B4" s="318" t="n"/>
      <c r="C4" s="318" t="n"/>
    </row>
    <row r="5" ht="18" customHeight="1" s="273">
      <c r="A5" s="319" t="inlineStr">
        <is>
          <t>Services</t>
        </is>
      </c>
      <c r="B5" s="320" t="n">
        <v>359659.19</v>
      </c>
      <c r="C5" s="320" t="n">
        <v>344761.31</v>
      </c>
    </row>
    <row r="6" ht="18" customHeight="1" s="273">
      <c r="A6" s="321" t="inlineStr">
        <is>
          <t>Uncategorized Income</t>
        </is>
      </c>
      <c r="B6" s="322" t="n">
        <v>0</v>
      </c>
      <c r="C6" s="322" t="n">
        <v>0</v>
      </c>
    </row>
    <row r="7" ht="18" customHeight="1" s="273">
      <c r="A7" s="323" t="inlineStr">
        <is>
          <t>Total Income</t>
        </is>
      </c>
      <c r="B7" s="324" t="n">
        <v>359659.19</v>
      </c>
      <c r="C7" s="324" t="n">
        <v>344761.32</v>
      </c>
    </row>
    <row r="8" ht="6" customHeight="1" s="273"/>
    <row r="9" ht="18" customHeight="1" s="273">
      <c r="A9" s="306" t="inlineStr">
        <is>
          <t>COST OF GOODS SOLD</t>
        </is>
      </c>
      <c r="B9" s="318" t="n"/>
      <c r="C9" s="318" t="n"/>
    </row>
    <row r="10" ht="18" customHeight="1" s="273">
      <c r="A10" s="321" t="inlineStr">
        <is>
          <t xml:space="preserve">  Diesel</t>
        </is>
      </c>
      <c r="B10" s="322" t="n">
        <v>3172.49</v>
      </c>
      <c r="C10" s="322" t="n">
        <v>4220.02</v>
      </c>
    </row>
    <row r="11" ht="18" customHeight="1" s="273">
      <c r="A11" s="319" t="inlineStr">
        <is>
          <t xml:space="preserve">  Equipment Rental - COGS</t>
        </is>
      </c>
      <c r="B11" s="320" t="n">
        <v>28946.24</v>
      </c>
      <c r="C11" s="320" t="n">
        <v>27326.76</v>
      </c>
    </row>
    <row r="12" ht="18" customHeight="1" s="273">
      <c r="A12" s="321" t="inlineStr">
        <is>
          <t xml:space="preserve">  Hourly Wages</t>
        </is>
      </c>
      <c r="B12" s="322" t="n">
        <v>66654.99000000001</v>
      </c>
      <c r="C12" s="322" t="n">
        <v>60806.81</v>
      </c>
    </row>
    <row r="13" ht="18" customHeight="1" s="273">
      <c r="A13" s="319" t="inlineStr">
        <is>
          <t xml:space="preserve">  Payroll Taxes - COGS</t>
        </is>
      </c>
      <c r="B13" s="320" t="n">
        <v>6038.94</v>
      </c>
      <c r="C13" s="320" t="n">
        <v>5509.84</v>
      </c>
    </row>
    <row r="14" ht="18" customHeight="1" s="273">
      <c r="A14" s="323" t="inlineStr">
        <is>
          <t>Total COGS</t>
        </is>
      </c>
      <c r="B14" s="324">
        <f>SUM(B10:B13)</f>
        <v/>
      </c>
      <c r="C14" s="324" t="n">
        <v>97863.42999999999</v>
      </c>
    </row>
    <row r="15" ht="6" customHeight="1" s="273"/>
    <row r="16" ht="18" customHeight="1" s="273">
      <c r="A16" s="323" t="inlineStr">
        <is>
          <t>GROSS PROFIT</t>
        </is>
      </c>
      <c r="B16" s="324">
        <f>B7-B14</f>
        <v/>
      </c>
      <c r="C16" s="324" t="n">
        <v>246897.89</v>
      </c>
    </row>
    <row r="17" ht="6" customHeight="1" s="273"/>
    <row r="18" ht="18" customHeight="1" s="273">
      <c r="A18" s="306" t="inlineStr">
        <is>
          <t>EXPENSES</t>
        </is>
      </c>
      <c r="B18" s="318" t="n"/>
      <c r="C18" s="318" t="n"/>
    </row>
    <row r="19" ht="18" customHeight="1" s="273">
      <c r="A19" s="319" t="inlineStr">
        <is>
          <t xml:space="preserve">  Advertising &amp; Marketing</t>
        </is>
      </c>
      <c r="B19" s="320" t="n">
        <v>248.32</v>
      </c>
      <c r="C19" s="320" t="n">
        <v>248.32</v>
      </c>
    </row>
    <row r="20" ht="18" customHeight="1" s="273">
      <c r="A20" s="321" t="inlineStr">
        <is>
          <t xml:space="preserve">  Commissions &amp; Fees</t>
        </is>
      </c>
      <c r="B20" s="322" t="n">
        <v>215.91</v>
      </c>
      <c r="C20" s="322" t="n">
        <v>215.91</v>
      </c>
    </row>
    <row r="21" ht="18" customHeight="1" s="273">
      <c r="A21" s="319" t="inlineStr">
        <is>
          <t xml:space="preserve">  Contract Labor</t>
        </is>
      </c>
      <c r="B21" s="320" t="n">
        <v>9018.200000000001</v>
      </c>
      <c r="C21" s="320" t="n">
        <v>9018.200000000001</v>
      </c>
    </row>
    <row r="22" ht="18" customHeight="1" s="273">
      <c r="A22" s="321" t="inlineStr">
        <is>
          <t xml:space="preserve">  Equipment Calibration</t>
        </is>
      </c>
      <c r="B22" s="322" t="n">
        <v>4062.2</v>
      </c>
      <c r="C22" s="322" t="n">
        <v>4062.2</v>
      </c>
    </row>
    <row r="23" ht="18" customHeight="1" s="273">
      <c r="A23" s="325" t="inlineStr">
        <is>
          <t xml:space="preserve">  General Business Expenses</t>
        </is>
      </c>
      <c r="B23" s="326" t="n"/>
      <c r="C23" s="326" t="n"/>
    </row>
    <row r="24" ht="18" customHeight="1" s="273">
      <c r="A24" s="327" t="inlineStr">
        <is>
          <t xml:space="preserve">    Memberships &amp; Subscriptions</t>
        </is>
      </c>
      <c r="B24" s="322" t="n">
        <v>189.74</v>
      </c>
      <c r="C24" s="322" t="n">
        <v>189.74</v>
      </c>
    </row>
    <row r="25" ht="18" customHeight="1" s="273">
      <c r="A25" s="328" t="inlineStr">
        <is>
          <t xml:space="preserve">    Site Services</t>
        </is>
      </c>
      <c r="B25" s="320" t="n">
        <v>2130</v>
      </c>
      <c r="C25" s="320" t="n">
        <v>2130</v>
      </c>
    </row>
    <row r="26" ht="18" customHeight="1" s="273">
      <c r="A26" s="329" t="inlineStr">
        <is>
          <t xml:space="preserve">  Total General Business</t>
        </is>
      </c>
      <c r="B26" s="324">
        <f>B24+B25</f>
        <v/>
      </c>
      <c r="C26" s="324">
        <f>C24+C25</f>
        <v/>
      </c>
    </row>
    <row r="27" ht="18" customHeight="1" s="273">
      <c r="A27" s="319" t="inlineStr">
        <is>
          <t xml:space="preserve">  Meals</t>
        </is>
      </c>
      <c r="B27" s="320" t="n">
        <v>228.6</v>
      </c>
      <c r="C27" s="320" t="n">
        <v>228.6</v>
      </c>
    </row>
    <row r="28" ht="18" customHeight="1" s="273">
      <c r="A28" s="330" t="inlineStr">
        <is>
          <t xml:space="preserve">  Office Expenses</t>
        </is>
      </c>
      <c r="B28" s="331" t="n"/>
      <c r="C28" s="331" t="n"/>
    </row>
    <row r="29" ht="18" customHeight="1" s="273">
      <c r="A29" s="328" t="inlineStr">
        <is>
          <t xml:space="preserve">    Small Tools &amp; Equipment</t>
        </is>
      </c>
      <c r="B29" s="320" t="n">
        <v>137.51</v>
      </c>
      <c r="C29" s="320" t="n">
        <v>137.51</v>
      </c>
    </row>
    <row r="30" ht="18" customHeight="1" s="273">
      <c r="A30" s="327" t="inlineStr">
        <is>
          <t xml:space="preserve">    Software &amp; Apps</t>
        </is>
      </c>
      <c r="B30" s="322" t="n">
        <v>220.12</v>
      </c>
      <c r="C30" s="322" t="n">
        <v>220.12</v>
      </c>
    </row>
    <row r="31" ht="18" customHeight="1" s="273">
      <c r="A31" s="329" t="inlineStr">
        <is>
          <t xml:space="preserve">  Total Office Expenses</t>
        </is>
      </c>
      <c r="B31" s="324">
        <f>B29+B30</f>
        <v/>
      </c>
      <c r="C31" s="324">
        <f>C29+C30</f>
        <v/>
      </c>
    </row>
    <row r="32" ht="18" customHeight="1" s="273">
      <c r="A32" s="330" t="inlineStr">
        <is>
          <t xml:space="preserve">  Payroll Expenses</t>
        </is>
      </c>
      <c r="B32" s="331" t="n"/>
      <c r="C32" s="331" t="n"/>
    </row>
    <row r="33" ht="18" customHeight="1" s="273">
      <c r="A33" s="328" t="inlineStr">
        <is>
          <t xml:space="preserve">    Salaries</t>
        </is>
      </c>
      <c r="B33" s="320" t="n">
        <v>27955</v>
      </c>
      <c r="C33" s="320" t="n">
        <v>27955</v>
      </c>
    </row>
    <row r="34" ht="18" customHeight="1" s="273">
      <c r="A34" s="327" t="inlineStr">
        <is>
          <t xml:space="preserve">    Taxes</t>
        </is>
      </c>
      <c r="B34" s="322" t="n">
        <v>6785.38</v>
      </c>
      <c r="C34" s="322" t="n">
        <v>6193.44</v>
      </c>
    </row>
    <row r="35" ht="18" customHeight="1" s="273">
      <c r="A35" s="328" t="inlineStr">
        <is>
          <t xml:space="preserve">    Wages</t>
        </is>
      </c>
      <c r="B35" s="320" t="n">
        <v>28997.34</v>
      </c>
      <c r="C35" s="320" t="n">
        <v>26453.17</v>
      </c>
    </row>
    <row r="36" ht="18" customHeight="1" s="273">
      <c r="A36" s="329" t="inlineStr">
        <is>
          <t xml:space="preserve">  Total Payroll Expenses</t>
        </is>
      </c>
      <c r="B36" s="324">
        <f>B33+B34+B35</f>
        <v/>
      </c>
      <c r="C36" s="324">
        <f>C33+C34+C35</f>
        <v/>
      </c>
    </row>
    <row r="37" ht="18" customHeight="1" s="273">
      <c r="A37" s="325" t="inlineStr">
        <is>
          <t xml:space="preserve">  Rent</t>
        </is>
      </c>
      <c r="B37" s="326" t="n"/>
      <c r="C37" s="326" t="n"/>
    </row>
    <row r="38" ht="18" customHeight="1" s="273">
      <c r="A38" s="327" t="inlineStr">
        <is>
          <t xml:space="preserve">    Building &amp; Land Rent</t>
        </is>
      </c>
      <c r="B38" s="322" t="n">
        <v>9056.41</v>
      </c>
      <c r="C38" s="322" t="n">
        <v>9056.41</v>
      </c>
    </row>
    <row r="39" ht="15" customHeight="1" s="273">
      <c r="A39" s="332" t="inlineStr">
        <is>
          <t xml:space="preserve">    Rental Equipment</t>
        </is>
      </c>
      <c r="B39" s="333" t="n">
        <v>1619.48</v>
      </c>
      <c r="C39" s="333" t="n">
        <v>1619.48</v>
      </c>
    </row>
    <row r="40" ht="18" customHeight="1" s="273">
      <c r="A40" s="329" t="inlineStr">
        <is>
          <t xml:space="preserve">  Total Rent</t>
        </is>
      </c>
      <c r="B40" s="324">
        <f>B38+B39</f>
        <v/>
      </c>
      <c r="C40" s="324" t="n">
        <v>10675.89</v>
      </c>
    </row>
    <row r="41" ht="18" customHeight="1" s="273">
      <c r="A41" s="321" t="inlineStr">
        <is>
          <t xml:space="preserve">  Repairs &amp; Maintenance</t>
        </is>
      </c>
      <c r="B41" s="322" t="n">
        <v>32278.45</v>
      </c>
      <c r="C41" s="322" t="n">
        <v>32278.45</v>
      </c>
    </row>
    <row r="42" ht="18" customHeight="1" s="273">
      <c r="A42" s="325" t="inlineStr">
        <is>
          <t xml:space="preserve">  Supplies</t>
        </is>
      </c>
      <c r="B42" s="326" t="n"/>
      <c r="C42" s="326" t="n"/>
    </row>
    <row r="43" ht="18" customHeight="1" s="273">
      <c r="A43" s="327" t="inlineStr">
        <is>
          <t xml:space="preserve">    Office Supplies</t>
        </is>
      </c>
      <c r="B43" s="322" t="n">
        <v>2385.62</v>
      </c>
      <c r="C43" s="322" t="n">
        <v>2385.62</v>
      </c>
    </row>
    <row r="44" ht="18" customHeight="1" s="273">
      <c r="A44" s="328" t="inlineStr">
        <is>
          <t xml:space="preserve">    Yard Expense</t>
        </is>
      </c>
      <c r="B44" s="320" t="n">
        <v>12018.9</v>
      </c>
      <c r="C44" s="320" t="n">
        <v>12018.9</v>
      </c>
    </row>
    <row r="45" ht="18" customHeight="1" s="273">
      <c r="A45" s="329" t="inlineStr">
        <is>
          <t xml:space="preserve">  Total Supplies</t>
        </is>
      </c>
      <c r="B45" s="324">
        <f>B43+B44</f>
        <v/>
      </c>
      <c r="C45" s="324">
        <f>C43+C44</f>
        <v/>
      </c>
    </row>
    <row r="46" ht="18" customHeight="1" s="273">
      <c r="A46" s="325" t="inlineStr">
        <is>
          <t xml:space="preserve">  Utilities</t>
        </is>
      </c>
      <c r="B46" s="326" t="n"/>
      <c r="C46" s="326" t="n"/>
    </row>
    <row r="47" ht="18" customHeight="1" s="273">
      <c r="A47" s="327" t="inlineStr">
        <is>
          <t xml:space="preserve">    Disposal &amp; Waste Fees</t>
        </is>
      </c>
      <c r="B47" s="322" t="n">
        <v>271.09</v>
      </c>
      <c r="C47" s="322" t="n">
        <v>271.09</v>
      </c>
    </row>
    <row r="48" ht="18" customHeight="1" s="273">
      <c r="A48" s="328" t="inlineStr">
        <is>
          <t xml:space="preserve">    Electricity</t>
        </is>
      </c>
      <c r="B48" s="320" t="n">
        <v>1567.95</v>
      </c>
      <c r="C48" s="320" t="n">
        <v>1567.95</v>
      </c>
    </row>
    <row r="49" ht="18" customHeight="1" s="273">
      <c r="A49" s="327" t="inlineStr">
        <is>
          <t xml:space="preserve">    Phone Service</t>
        </is>
      </c>
      <c r="B49" s="322" t="n">
        <v>384.64</v>
      </c>
      <c r="C49" s="322" t="n">
        <v>384.64</v>
      </c>
    </row>
    <row r="50" ht="18" customHeight="1" s="273">
      <c r="A50" s="329" t="inlineStr">
        <is>
          <t xml:space="preserve">  Total Utilities</t>
        </is>
      </c>
      <c r="B50" s="324">
        <f>B47+B48+B49</f>
        <v/>
      </c>
      <c r="C50" s="324">
        <f>C47+C48+C49</f>
        <v/>
      </c>
    </row>
    <row r="51" ht="6" customHeight="1" s="273">
      <c r="A51" s="323" t="inlineStr">
        <is>
          <t>Total Expenses</t>
        </is>
      </c>
      <c r="B51" s="324">
        <f>B19+B20+B21+B22+B26+B27+B31+B36+B40+B41+B45+B50</f>
        <v/>
      </c>
      <c r="C51" s="324">
        <f>C19+C20+C21+C22+C26+C27+C31+C36+C40+C41+C45+C50</f>
        <v/>
      </c>
    </row>
    <row r="52" ht="18" customHeight="1" s="273"/>
    <row r="53" ht="6" customHeight="1" s="273">
      <c r="A53" s="323" t="inlineStr">
        <is>
          <t>NET OPERATING INCOME</t>
        </is>
      </c>
      <c r="B53" s="324">
        <f>B16-B51</f>
        <v/>
      </c>
      <c r="C53" s="324">
        <f>C16-C51</f>
        <v/>
      </c>
    </row>
    <row r="54" ht="18" customHeight="1" s="273"/>
    <row r="55" ht="18" customHeight="1" s="273">
      <c r="A55" s="306" t="inlineStr">
        <is>
          <t>OTHER EXPENSES</t>
        </is>
      </c>
      <c r="B55" s="318" t="n"/>
      <c r="C55" s="318" t="n"/>
    </row>
    <row r="56" ht="18" customHeight="1" s="273">
      <c r="A56" s="319" t="inlineStr">
        <is>
          <t xml:space="preserve">  Misc / Ask</t>
        </is>
      </c>
      <c r="B56" s="320" t="n">
        <v>215.86</v>
      </c>
      <c r="C56" s="320" t="n">
        <v>215.86</v>
      </c>
    </row>
    <row r="57" ht="18" customHeight="1" s="273">
      <c r="A57" s="330" t="inlineStr">
        <is>
          <t xml:space="preserve">  Vehicle Expenses</t>
        </is>
      </c>
      <c r="B57" s="334" t="n">
        <v>47.67</v>
      </c>
      <c r="C57" s="334" t="n">
        <v>47.67</v>
      </c>
    </row>
    <row r="58" ht="18" customHeight="1" s="273">
      <c r="A58" s="328" t="inlineStr">
        <is>
          <t xml:space="preserve">    Parking &amp; Tolls</t>
        </is>
      </c>
      <c r="B58" s="320" t="n">
        <v>140</v>
      </c>
      <c r="C58" s="320" t="n">
        <v>140</v>
      </c>
    </row>
    <row r="59" ht="18" customHeight="1" s="273">
      <c r="A59" s="327" t="inlineStr">
        <is>
          <t xml:space="preserve">    Vehicle Gas &amp; Fuel</t>
        </is>
      </c>
      <c r="B59" s="322" t="n">
        <v>971.0700000000001</v>
      </c>
      <c r="C59" s="322" t="n">
        <v>971.0700000000001</v>
      </c>
    </row>
    <row r="60" ht="18" customHeight="1" s="273">
      <c r="A60" s="328" t="inlineStr">
        <is>
          <t xml:space="preserve">    Vehicle Repairs</t>
        </is>
      </c>
      <c r="B60" s="320" t="n">
        <v>5938.73</v>
      </c>
      <c r="C60" s="320" t="n">
        <v>5938.73</v>
      </c>
    </row>
    <row r="61" ht="18" customHeight="1" s="273">
      <c r="A61" s="329" t="inlineStr">
        <is>
          <t xml:space="preserve">  Total Vehicle Expenses</t>
        </is>
      </c>
      <c r="B61" s="324">
        <f>B57+B58+B59+B60</f>
        <v/>
      </c>
      <c r="C61" s="324">
        <f>C57+C58+C59+C60</f>
        <v/>
      </c>
    </row>
    <row r="62" ht="18" customHeight="1" s="273">
      <c r="A62" s="323" t="inlineStr">
        <is>
          <t>Total Other Expenses</t>
        </is>
      </c>
      <c r="B62" s="324">
        <f>B56+B61</f>
        <v/>
      </c>
      <c r="C62" s="324">
        <f>C56+C61</f>
        <v/>
      </c>
    </row>
    <row r="63" ht="6" customHeight="1" s="273">
      <c r="A63" s="323" t="inlineStr">
        <is>
          <t>Net Other Income</t>
        </is>
      </c>
      <c r="B63" s="324">
        <f>-B62</f>
        <v/>
      </c>
      <c r="C63" s="324">
        <f>-C62</f>
        <v/>
      </c>
    </row>
    <row r="64" ht="18" customHeight="1" s="273"/>
    <row r="65" ht="15" customHeight="1" s="273">
      <c r="A65" s="335" t="inlineStr">
        <is>
          <t>NET INCOME</t>
        </is>
      </c>
      <c r="B65" s="336">
        <f>B53+B63</f>
        <v/>
      </c>
      <c r="C65" s="336">
        <f>C53+C63</f>
        <v/>
      </c>
    </row>
  </sheetData>
  <mergeCells count="1">
    <mergeCell ref="A1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" customWidth="1" style="272" min="1" max="1"/>
    <col width="20" customWidth="1" style="272" min="2" max="2"/>
    <col width="8" customWidth="1" style="272" min="3" max="3"/>
    <col width="28" customWidth="1" style="272" min="4" max="4"/>
    <col width="18" customWidth="1" style="272" min="5" max="7"/>
    <col width="14" customWidth="1" style="272" min="8" max="8"/>
  </cols>
  <sheetData>
    <row r="1" ht="36" customHeight="1" s="273">
      <c r="A1" s="274" t="inlineStr">
        <is>
          <t>|  MARCH 2026 WEEKLY BREAKDOWN</t>
        </is>
      </c>
    </row>
    <row r="2" ht="15" customHeight="1" s="273"/>
    <row r="3" ht="21.75" customHeight="1" s="273">
      <c r="A3" s="317" t="inlineStr">
        <is>
          <t>Period</t>
        </is>
      </c>
      <c r="B3" s="317" t="inlineStr">
        <is>
          <t>Dates</t>
        </is>
      </c>
      <c r="C3" s="317" t="inlineStr">
        <is>
          <t>Days</t>
        </is>
      </c>
      <c r="D3" s="317" t="inlineStr">
        <is>
          <t>Bbls (Actual / Forecast)</t>
        </is>
      </c>
      <c r="E3" s="317" t="inlineStr">
        <is>
          <t>Revenue ($)</t>
        </is>
      </c>
      <c r="F3" s="317" t="inlineStr">
        <is>
          <t>Expenses ($)</t>
        </is>
      </c>
      <c r="G3" s="317" t="inlineStr">
        <is>
          <t>Net ($)</t>
        </is>
      </c>
      <c r="H3" s="317" t="inlineStr">
        <is>
          <t>Status</t>
        </is>
      </c>
    </row>
    <row r="4" ht="19.5" customHeight="1" s="273">
      <c r="A4" s="290" t="inlineStr">
        <is>
          <t>Week 1</t>
        </is>
      </c>
      <c r="B4" s="290" t="inlineStr">
        <is>
          <t>Mar 1–7</t>
        </is>
      </c>
      <c r="C4" s="290" t="n">
        <v>7</v>
      </c>
      <c r="D4" s="337" t="inlineStr">
        <is>
          <t>Actual: 89,929</t>
        </is>
      </c>
      <c r="E4" s="291" t="n">
        <v>97412</v>
      </c>
      <c r="F4" s="291" t="n">
        <v>30487</v>
      </c>
      <c r="G4" s="291">
        <f>E4-F4</f>
        <v/>
      </c>
      <c r="H4" s="338" t="inlineStr">
        <is>
          <t>ACTUAL</t>
        </is>
      </c>
    </row>
    <row r="5" ht="19.5" customHeight="1" s="273">
      <c r="A5" s="280" t="inlineStr">
        <is>
          <t>Week 2</t>
        </is>
      </c>
      <c r="B5" s="280" t="inlineStr">
        <is>
          <t>Mar 8–14</t>
        </is>
      </c>
      <c r="C5" s="280" t="n">
        <v>7</v>
      </c>
      <c r="D5" s="339" t="inlineStr">
        <is>
          <t>Actual: 79,514</t>
        </is>
      </c>
      <c r="E5" s="281" t="n">
        <v>85885</v>
      </c>
      <c r="F5" s="281" t="n">
        <v>30487</v>
      </c>
      <c r="G5" s="281">
        <f>E5-F5</f>
        <v/>
      </c>
      <c r="H5" s="340" t="inlineStr">
        <is>
          <t>MIXED</t>
        </is>
      </c>
    </row>
    <row r="6" ht="19.5" customHeight="1" s="273">
      <c r="A6" s="290" t="inlineStr">
        <is>
          <t>Week 3</t>
        </is>
      </c>
      <c r="B6" s="290" t="inlineStr">
        <is>
          <t>Mar 15–21</t>
        </is>
      </c>
      <c r="C6" s="290" t="n">
        <v>7</v>
      </c>
      <c r="D6" s="337" t="inlineStr">
        <is>
          <t>Act 46,647 + Fcst 21,043</t>
        </is>
      </c>
      <c r="E6" s="291" t="n">
        <v>78402</v>
      </c>
      <c r="F6" s="291" t="n">
        <v>30487</v>
      </c>
      <c r="G6" s="291">
        <f>E6-F6</f>
        <v/>
      </c>
      <c r="H6" s="341" t="inlineStr">
        <is>
          <t>MIXED</t>
        </is>
      </c>
    </row>
    <row r="7" ht="19.5" customHeight="1" s="273">
      <c r="A7" s="280" t="inlineStr">
        <is>
          <t>Week 4</t>
        </is>
      </c>
      <c r="B7" s="280" t="inlineStr">
        <is>
          <t>Mar 22–28</t>
        </is>
      </c>
      <c r="C7" s="280" t="n">
        <v>7</v>
      </c>
      <c r="D7" s="339" t="inlineStr">
        <is>
          <t>Forecast: 89,929</t>
        </is>
      </c>
      <c r="E7" s="281" t="n">
        <v>93697</v>
      </c>
      <c r="F7" s="281" t="n">
        <v>30487</v>
      </c>
      <c r="G7" s="281">
        <f>E7-F7</f>
        <v/>
      </c>
      <c r="H7" s="341" t="inlineStr">
        <is>
          <t>FORECAST</t>
        </is>
      </c>
    </row>
    <row r="8" ht="19.5" customHeight="1" s="273">
      <c r="A8" s="290" t="inlineStr">
        <is>
          <t>Week 5</t>
        </is>
      </c>
      <c r="B8" s="290" t="inlineStr">
        <is>
          <t>Mar 29–31</t>
        </is>
      </c>
      <c r="C8" s="290" t="n">
        <v>3</v>
      </c>
      <c r="D8" s="337" t="inlineStr">
        <is>
          <t>Forecast: 38,541</t>
        </is>
      </c>
      <c r="E8" s="291" t="n">
        <v>40156</v>
      </c>
      <c r="F8" s="291" t="n">
        <v>13066</v>
      </c>
      <c r="G8" s="291">
        <f>E8-F8</f>
        <v/>
      </c>
      <c r="H8" s="341" t="inlineStr">
        <is>
          <t>FORECAST</t>
        </is>
      </c>
    </row>
    <row r="9" ht="19.5" customHeight="1" s="273">
      <c r="A9" s="317" t="inlineStr">
        <is>
          <t>TOTAL</t>
        </is>
      </c>
      <c r="B9" s="317" t="inlineStr">
        <is>
          <t>Mar 1–31</t>
        </is>
      </c>
      <c r="C9" s="317" t="n">
        <v>31</v>
      </c>
      <c r="D9" s="342" t="inlineStr">
        <is>
          <t>351,770</t>
        </is>
      </c>
      <c r="E9" s="343">
        <f>SUM(E4:E8)</f>
        <v/>
      </c>
      <c r="F9" s="343">
        <f>SUM(F4:F8)</f>
        <v/>
      </c>
      <c r="G9" s="343">
        <f>E9-F9</f>
        <v/>
      </c>
      <c r="H9" s="317" t="n"/>
    </row>
  </sheetData>
  <mergeCells count="1"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5" customWidth="1" style="272" min="1" max="1"/>
    <col width="12" customWidth="1" style="272" min="2" max="2"/>
    <col width="10" customWidth="1" style="272" min="3" max="3"/>
    <col width="25" customWidth="1" style="272" min="4" max="4"/>
  </cols>
  <sheetData>
    <row r="1" ht="36" customHeight="1" s="273">
      <c r="A1" s="274" t="inlineStr">
        <is>
          <t>|  HEADCOUNT BY MONTH &amp; CURRENT ROSTER</t>
        </is>
      </c>
    </row>
    <row r="2" ht="15" customHeight="1" s="273"/>
    <row r="3" ht="21.75" customHeight="1" s="273">
      <c r="A3" s="317" t="inlineStr">
        <is>
          <t>Month</t>
        </is>
      </c>
      <c r="B3" s="317" t="inlineStr">
        <is>
          <t>Headcount</t>
        </is>
      </c>
      <c r="C3" s="317" t="inlineStr">
        <is>
          <t>Change</t>
        </is>
      </c>
      <c r="D3" s="317" t="inlineStr">
        <is>
          <t>Source</t>
        </is>
      </c>
    </row>
    <row r="4" ht="18" customHeight="1" s="273">
      <c r="A4" s="290" t="inlineStr">
        <is>
          <t>Apr 2025</t>
        </is>
      </c>
      <c r="B4" s="290" t="n">
        <v>4</v>
      </c>
      <c r="C4" s="290" t="n"/>
      <c r="D4" s="344" t="inlineStr">
        <is>
          <t>Management input</t>
        </is>
      </c>
    </row>
    <row r="5" ht="15" customHeight="1" s="273">
      <c r="A5" s="280" t="inlineStr">
        <is>
          <t>May 2025</t>
        </is>
      </c>
      <c r="B5" s="280" t="n">
        <v>4</v>
      </c>
      <c r="C5" s="345" t="n">
        <v>0</v>
      </c>
      <c r="D5" s="346" t="inlineStr">
        <is>
          <t>Management input</t>
        </is>
      </c>
    </row>
    <row r="6" ht="15" customHeight="1" s="273">
      <c r="A6" s="290" t="inlineStr">
        <is>
          <t>Jun 2025</t>
        </is>
      </c>
      <c r="B6" s="290" t="n">
        <v>6</v>
      </c>
      <c r="C6" s="347" t="n">
        <v>2</v>
      </c>
      <c r="D6" s="344" t="inlineStr">
        <is>
          <t>Management input</t>
        </is>
      </c>
    </row>
    <row r="7" ht="15" customHeight="1" s="273">
      <c r="A7" s="280" t="inlineStr">
        <is>
          <t>Jul 2025</t>
        </is>
      </c>
      <c r="B7" s="280" t="n">
        <v>8</v>
      </c>
      <c r="C7" s="348" t="n">
        <v>2</v>
      </c>
      <c r="D7" s="346" t="inlineStr">
        <is>
          <t>Management input</t>
        </is>
      </c>
    </row>
    <row r="8" ht="15" customHeight="1" s="273">
      <c r="A8" s="290" t="inlineStr">
        <is>
          <t>Aug 2025</t>
        </is>
      </c>
      <c r="B8" s="290" t="n">
        <v>10</v>
      </c>
      <c r="C8" s="347" t="n">
        <v>2</v>
      </c>
      <c r="D8" s="344" t="inlineStr">
        <is>
          <t>Management input</t>
        </is>
      </c>
    </row>
    <row r="9" ht="15" customHeight="1" s="273">
      <c r="A9" s="280" t="inlineStr">
        <is>
          <t>Sep 2025</t>
        </is>
      </c>
      <c r="B9" s="280" t="n">
        <v>12</v>
      </c>
      <c r="C9" s="348" t="n">
        <v>2</v>
      </c>
      <c r="D9" s="346" t="inlineStr">
        <is>
          <t>Management input</t>
        </is>
      </c>
    </row>
    <row r="10" ht="15" customHeight="1" s="273">
      <c r="A10" s="290" t="inlineStr">
        <is>
          <t>Oct 2025</t>
        </is>
      </c>
      <c r="B10" s="290" t="n">
        <v>12</v>
      </c>
      <c r="C10" s="349" t="n">
        <v>0</v>
      </c>
      <c r="D10" s="344" t="inlineStr">
        <is>
          <t>Management input</t>
        </is>
      </c>
    </row>
    <row r="11" ht="15" customHeight="1" s="273">
      <c r="A11" s="280" t="inlineStr">
        <is>
          <t>Nov 2025</t>
        </is>
      </c>
      <c r="B11" s="280" t="n">
        <v>12</v>
      </c>
      <c r="C11" s="345" t="n">
        <v>0</v>
      </c>
      <c r="D11" s="346" t="inlineStr">
        <is>
          <t>Payroll PDF</t>
        </is>
      </c>
    </row>
    <row r="12" ht="15" customHeight="1" s="273">
      <c r="A12" s="290" t="inlineStr">
        <is>
          <t>Dec 2025</t>
        </is>
      </c>
      <c r="B12" s="290" t="n">
        <v>12</v>
      </c>
      <c r="C12" s="349" t="n">
        <v>0</v>
      </c>
      <c r="D12" s="344" t="inlineStr">
        <is>
          <t>Payroll PDF</t>
        </is>
      </c>
    </row>
    <row r="13" ht="15" customHeight="1" s="273">
      <c r="A13" s="280" t="inlineStr">
        <is>
          <t>Jan 2026</t>
        </is>
      </c>
      <c r="B13" s="280" t="n">
        <v>12</v>
      </c>
      <c r="C13" s="345" t="n">
        <v>0</v>
      </c>
      <c r="D13" s="346" t="inlineStr">
        <is>
          <t>Payroll PDF</t>
        </is>
      </c>
    </row>
    <row r="14" ht="15" customHeight="1" s="273">
      <c r="A14" s="290" t="inlineStr">
        <is>
          <t>Feb 2026</t>
        </is>
      </c>
      <c r="B14" s="290" t="n">
        <v>13</v>
      </c>
      <c r="C14" s="347" t="n">
        <v>1</v>
      </c>
      <c r="D14" s="344" t="inlineStr">
        <is>
          <t>Payroll PDF</t>
        </is>
      </c>
    </row>
    <row r="15" ht="15" customHeight="1" s="273">
      <c r="A15" s="280" t="inlineStr">
        <is>
          <t>Mar 2026</t>
        </is>
      </c>
      <c r="B15" s="280" t="n">
        <v>15</v>
      </c>
      <c r="C15" s="348" t="n">
        <v>2</v>
      </c>
      <c r="D15" s="346" t="inlineStr">
        <is>
          <t>Payroll CSV + Roster (updated Mar 22)</t>
        </is>
      </c>
    </row>
    <row r="16" ht="15" customHeight="1" s="273"/>
    <row r="17" ht="15" customHeight="1" s="273"/>
    <row r="18" ht="15" customHeight="1" s="273">
      <c r="A18" s="350" t="inlineStr">
        <is>
          <t>CURRENT ROSTER  –  CADIZ TERMINAL  (Mar 2026)</t>
        </is>
      </c>
    </row>
    <row r="19" ht="15.75" customHeight="1" s="273">
      <c r="A19" s="317" t="inlineStr">
        <is>
          <t>#</t>
        </is>
      </c>
      <c r="B19" s="317" t="inlineStr">
        <is>
          <t>Name</t>
        </is>
      </c>
      <c r="C19" s="317" t="inlineStr">
        <is>
          <t>Role</t>
        </is>
      </c>
      <c r="D19" s="317" t="inlineStr">
        <is>
          <t>Notes</t>
        </is>
      </c>
    </row>
    <row r="20" ht="15.75" customHeight="1" s="273">
      <c r="A20" s="351" t="n">
        <v>1</v>
      </c>
      <c r="B20" s="352" t="inlineStr">
        <is>
          <t>Cam Betz</t>
        </is>
      </c>
      <c r="C20" s="351" t="inlineStr">
        <is>
          <t>Supervisor</t>
        </is>
      </c>
      <c r="D20" s="352" t="n"/>
    </row>
    <row r="21" ht="15.75" customHeight="1" s="273">
      <c r="A21" s="351" t="n">
        <v>2</v>
      </c>
      <c r="B21" s="352" t="inlineStr">
        <is>
          <t>Shawn Osborne Jr.</t>
        </is>
      </c>
      <c r="C21" s="351" t="inlineStr">
        <is>
          <t>Supervisor</t>
        </is>
      </c>
      <c r="D21" s="352" t="n"/>
    </row>
    <row r="22" ht="15.75" customHeight="1" s="273">
      <c r="A22" s="351" t="n">
        <v>3</v>
      </c>
      <c r="B22" s="352" t="inlineStr">
        <is>
          <t>Daniel Hough</t>
        </is>
      </c>
      <c r="C22" s="351" t="inlineStr">
        <is>
          <t>Supervisor</t>
        </is>
      </c>
      <c r="D22" s="352" t="n"/>
    </row>
    <row r="23" ht="15.75" customHeight="1" s="273">
      <c r="A23" s="351" t="n">
        <v>4</v>
      </c>
      <c r="B23" s="352" t="inlineStr">
        <is>
          <t>Jonathan Williams</t>
        </is>
      </c>
      <c r="C23" s="351" t="inlineStr">
        <is>
          <t>Supervisor</t>
        </is>
      </c>
      <c r="D23" s="352" t="n"/>
    </row>
    <row r="24" ht="15.75" customHeight="1" s="273">
      <c r="A24" s="290" t="n">
        <v>5</v>
      </c>
      <c r="B24" s="344" t="inlineStr">
        <is>
          <t>Shane Young</t>
        </is>
      </c>
      <c r="C24" s="290" t="inlineStr">
        <is>
          <t>Loader</t>
        </is>
      </c>
      <c r="D24" s="344" t="n"/>
    </row>
    <row r="25" ht="15.75" customHeight="1" s="273">
      <c r="A25" s="280" t="n">
        <v>6</v>
      </c>
      <c r="B25" s="346" t="inlineStr">
        <is>
          <t>Billy Glover</t>
        </is>
      </c>
      <c r="C25" s="280" t="inlineStr">
        <is>
          <t>Loader</t>
        </is>
      </c>
      <c r="D25" s="346" t="n"/>
    </row>
    <row r="26" ht="15.75" customHeight="1" s="273">
      <c r="A26" s="280" t="n">
        <v>7</v>
      </c>
      <c r="B26" s="346" t="inlineStr">
        <is>
          <t>Bryan Deoss</t>
        </is>
      </c>
      <c r="C26" s="280" t="inlineStr">
        <is>
          <t>Loader</t>
        </is>
      </c>
      <c r="D26" s="346" t="n"/>
    </row>
    <row r="27" ht="15.75" customHeight="1" s="273">
      <c r="A27" s="290" t="n">
        <v>8</v>
      </c>
      <c r="B27" s="344" t="inlineStr">
        <is>
          <t>Austin Treadway</t>
        </is>
      </c>
      <c r="C27" s="290" t="inlineStr">
        <is>
          <t>Loader</t>
        </is>
      </c>
      <c r="D27" s="344" t="n"/>
    </row>
    <row r="28" ht="15.75" customHeight="1" s="273">
      <c r="A28" s="280" t="n">
        <v>9</v>
      </c>
      <c r="B28" s="346" t="inlineStr">
        <is>
          <t>Jacob Diloreto</t>
        </is>
      </c>
      <c r="C28" s="280" t="inlineStr">
        <is>
          <t>Loader</t>
        </is>
      </c>
      <c r="D28" s="346" t="n"/>
    </row>
    <row r="29" ht="15.75" customHeight="1" s="273">
      <c r="A29" s="290" t="n">
        <v>10</v>
      </c>
      <c r="B29" s="344" t="inlineStr">
        <is>
          <t>Dustin Fletcher</t>
        </is>
      </c>
      <c r="C29" s="290" t="inlineStr">
        <is>
          <t>Loader</t>
        </is>
      </c>
      <c r="D29" s="344" t="n"/>
    </row>
    <row r="30" ht="15.75" customHeight="1" s="273">
      <c r="A30" s="280" t="n">
        <v>11</v>
      </c>
      <c r="B30" s="346" t="inlineStr">
        <is>
          <t>Jared Wright</t>
        </is>
      </c>
      <c r="C30" s="280" t="inlineStr">
        <is>
          <t>Loader</t>
        </is>
      </c>
      <c r="D30" s="346" t="n"/>
    </row>
    <row r="31" ht="15.75" customHeight="1" s="273">
      <c r="A31" s="290" t="n">
        <v>12</v>
      </c>
      <c r="B31" s="344" t="inlineStr">
        <is>
          <t>Nate Medel</t>
        </is>
      </c>
      <c r="C31" s="290" t="inlineStr">
        <is>
          <t>Loader</t>
        </is>
      </c>
      <c r="D31" s="344" t="n"/>
    </row>
    <row r="32" ht="15.75" customHeight="1" s="273">
      <c r="A32" s="280" t="n">
        <v>13</v>
      </c>
      <c r="B32" s="346" t="inlineStr">
        <is>
          <t>Greg Bates</t>
        </is>
      </c>
      <c r="C32" s="280" t="inlineStr">
        <is>
          <t>Loader</t>
        </is>
      </c>
      <c r="D32" s="346" t="n"/>
    </row>
    <row r="33" ht="15.75" customHeight="1" s="273">
      <c r="A33" s="290" t="n">
        <v>14</v>
      </c>
      <c r="B33" s="344" t="inlineStr">
        <is>
          <t>Tom Carney</t>
        </is>
      </c>
      <c r="C33" s="290" t="inlineStr">
        <is>
          <t>Loader</t>
        </is>
      </c>
      <c r="D33" s="344" t="n"/>
    </row>
    <row r="34" ht="15.75" customHeight="1" s="273">
      <c r="A34" s="280" t="n">
        <v>15</v>
      </c>
      <c r="B34" s="346" t="inlineStr">
        <is>
          <t>Shawn Osborne Sr. (OZ)</t>
        </is>
      </c>
      <c r="C34" s="280" t="inlineStr">
        <is>
          <t>Loader</t>
        </is>
      </c>
      <c r="D34" s="346" t="inlineStr">
        <is>
          <t>Father of Shawn Jr.; started Feb 2026</t>
        </is>
      </c>
    </row>
    <row r="35" ht="15.75" customHeight="1" s="273"/>
    <row r="36" ht="15.75" customHeight="1" s="273"/>
    <row r="37" ht="15.75" customHeight="1" s="273"/>
    <row r="38" ht="15.75" customHeight="1" s="273"/>
    <row r="39" ht="15.75" customHeight="1" s="273"/>
  </sheetData>
  <mergeCells count="2">
    <mergeCell ref="A1:D2"/>
    <mergeCell ref="A18:D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72" min="1" max="1"/>
    <col width="9" customWidth="1" style="272" min="2" max="13"/>
  </cols>
  <sheetData>
    <row r="1" ht="36" customHeight="1" s="273">
      <c r="A1" s="353" t="inlineStr">
        <is>
          <t>|  PUMP RUNTIME &amp; UTILIZATION  (P-101 / P-102 / P-103)</t>
        </is>
      </c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5" t="n"/>
      <c r="M1" s="356" t="n"/>
    </row>
    <row r="2" ht="15" customHeight="1" s="273">
      <c r="A2" s="357" t="inlineStr">
        <is>
          <t>Source: Master Load Log  ·  BOL# prefix: 111=P-101, 222=P-102, 333=P-103  ·  Downtime = total hrs in month minus pump runtime  ·  % = runtime / total hrs</t>
        </is>
      </c>
      <c r="B2" s="354" t="n"/>
      <c r="C2" s="354" t="n"/>
      <c r="D2" s="354" t="n"/>
      <c r="E2" s="354" t="n"/>
      <c r="F2" s="354" t="n"/>
      <c r="G2" s="354" t="n"/>
      <c r="H2" s="354" t="n"/>
      <c r="I2" s="354" t="n"/>
      <c r="J2" s="354" t="n"/>
      <c r="K2" s="354" t="n"/>
      <c r="L2" s="355" t="n"/>
      <c r="M2" s="357" t="n"/>
    </row>
    <row r="3" ht="6" customHeight="1" s="273"/>
    <row r="4" ht="19.5" customHeight="1" s="273">
      <c r="A4" s="277" t="inlineStr">
        <is>
          <t>Month</t>
        </is>
      </c>
      <c r="B4" s="277" t="inlineStr">
        <is>
          <t>Total
Hrs/Mo</t>
        </is>
      </c>
      <c r="C4" s="277" t="n"/>
      <c r="D4" s="354" t="n"/>
      <c r="E4" s="355" t="n"/>
      <c r="F4" s="358" t="inlineStr">
        <is>
          <t>P-102  (BOL 222)</t>
        </is>
      </c>
      <c r="G4" s="354" t="n"/>
      <c r="H4" s="355" t="n"/>
      <c r="I4" s="359" t="inlineStr">
        <is>
          <t>P-103  (BOL 333)</t>
        </is>
      </c>
      <c r="J4" s="354" t="n"/>
      <c r="K4" s="355" t="n"/>
      <c r="L4" s="277" t="inlineStr">
        <is>
          <t>Notes</t>
        </is>
      </c>
    </row>
    <row r="5" ht="18" customHeight="1" s="273">
      <c r="A5" s="277" t="n"/>
      <c r="B5" s="277" t="n"/>
      <c r="C5" s="360" t="inlineStr">
        <is>
          <t>Run Hrs</t>
        </is>
      </c>
      <c r="D5" s="360" t="inlineStr">
        <is>
          <t>Down Hrs</t>
        </is>
      </c>
      <c r="E5" s="360" t="inlineStr">
        <is>
          <t>Util %</t>
        </is>
      </c>
      <c r="F5" s="358" t="inlineStr">
        <is>
          <t>Run Hrs</t>
        </is>
      </c>
      <c r="G5" s="358" t="inlineStr">
        <is>
          <t>Down Hrs</t>
        </is>
      </c>
      <c r="H5" s="358" t="inlineStr">
        <is>
          <t>Util %</t>
        </is>
      </c>
      <c r="I5" s="359" t="inlineStr">
        <is>
          <t>Run Hrs</t>
        </is>
      </c>
      <c r="J5" s="359" t="inlineStr">
        <is>
          <t>Down Hrs</t>
        </is>
      </c>
      <c r="K5" s="359" t="inlineStr">
        <is>
          <t>Util %</t>
        </is>
      </c>
      <c r="L5" s="277" t="n"/>
    </row>
    <row r="6" ht="15" customHeight="1" s="273">
      <c r="A6" s="361" t="inlineStr">
        <is>
          <t>May 2025</t>
        </is>
      </c>
      <c r="B6" s="362" t="n">
        <v>744</v>
      </c>
      <c r="C6" s="363" t="n">
        <v>4.23</v>
      </c>
      <c r="D6" s="363" t="n">
        <v>739.77</v>
      </c>
      <c r="E6" s="364" t="n">
        <v>0.006</v>
      </c>
      <c r="F6" s="365" t="n">
        <v>0</v>
      </c>
      <c r="G6" s="365" t="n">
        <v>744</v>
      </c>
      <c r="H6" s="366" t="n">
        <v>0</v>
      </c>
      <c r="I6" s="367" t="n">
        <v>0</v>
      </c>
      <c r="J6" s="367" t="n">
        <v>744</v>
      </c>
      <c r="K6" s="368" t="n">
        <v>0</v>
      </c>
      <c r="L6" s="369" t="inlineStr">
        <is>
          <t>P-101 commissioned Apr 2025  ·  P-102 not yet commissioned  ·  P-103 not yet commissioned</t>
        </is>
      </c>
    </row>
    <row r="7" ht="15" customHeight="1" s="273">
      <c r="A7" s="370" t="inlineStr">
        <is>
          <t>Jul 2025</t>
        </is>
      </c>
      <c r="B7" s="371" t="n">
        <v>744</v>
      </c>
      <c r="C7" s="363" t="n">
        <v>214.38</v>
      </c>
      <c r="D7" s="363" t="n">
        <v>529.62</v>
      </c>
      <c r="E7" s="364" t="n">
        <v>0.288</v>
      </c>
      <c r="F7" s="365" t="n">
        <v>138.87</v>
      </c>
      <c r="G7" s="365" t="n">
        <v>605.13</v>
      </c>
      <c r="H7" s="366" t="n">
        <v>0.187</v>
      </c>
      <c r="I7" s="367" t="n">
        <v>0</v>
      </c>
      <c r="J7" s="367" t="n">
        <v>744</v>
      </c>
      <c r="K7" s="368" t="n">
        <v>0</v>
      </c>
      <c r="L7" s="372" t="inlineStr">
        <is>
          <t>P-101 active  ·  P-102 commissioned Jul 2025  ·  P-103 not yet commissioned</t>
        </is>
      </c>
    </row>
    <row r="8" ht="15" customHeight="1" s="273">
      <c r="A8" s="361" t="inlineStr">
        <is>
          <t>Aug 2025</t>
        </is>
      </c>
      <c r="B8" s="362" t="n">
        <v>744</v>
      </c>
      <c r="C8" s="363" t="n">
        <v>393.9</v>
      </c>
      <c r="D8" s="363" t="n">
        <v>350.1</v>
      </c>
      <c r="E8" s="364" t="n">
        <v>0.529</v>
      </c>
      <c r="F8" s="365" t="n">
        <v>335.85</v>
      </c>
      <c r="G8" s="365" t="n">
        <v>408.15</v>
      </c>
      <c r="H8" s="366" t="n">
        <v>0.451</v>
      </c>
      <c r="I8" s="367" t="n">
        <v>0.43</v>
      </c>
      <c r="J8" s="367" t="n">
        <v>743.5700000000001</v>
      </c>
      <c r="K8" s="368" t="n">
        <v>0.001</v>
      </c>
      <c r="L8" s="369" t="inlineStr">
        <is>
          <t>P-101 &amp; P-102 active  ·  P-103 not yet commissioned</t>
        </is>
      </c>
    </row>
    <row r="9" ht="15" customHeight="1" s="273">
      <c r="A9" s="370" t="inlineStr">
        <is>
          <t>Sep 2025</t>
        </is>
      </c>
      <c r="B9" s="371" t="n">
        <v>720</v>
      </c>
      <c r="C9" s="363" t="n">
        <v>317.92</v>
      </c>
      <c r="D9" s="363" t="n">
        <v>402.08</v>
      </c>
      <c r="E9" s="364" t="n">
        <v>0.442</v>
      </c>
      <c r="F9" s="365" t="n">
        <v>258.85</v>
      </c>
      <c r="G9" s="365" t="n">
        <v>461.15</v>
      </c>
      <c r="H9" s="366" t="n">
        <v>0.36</v>
      </c>
      <c r="I9" s="367" t="n">
        <v>0</v>
      </c>
      <c r="J9" s="367" t="n">
        <v>720</v>
      </c>
      <c r="K9" s="368" t="n">
        <v>0</v>
      </c>
      <c r="L9" s="372" t="inlineStr">
        <is>
          <t>P-101 &amp; P-102 active  ·  P-103 not yet commissioned</t>
        </is>
      </c>
    </row>
    <row r="10" ht="15" customHeight="1" s="273">
      <c r="A10" s="361" t="inlineStr">
        <is>
          <t>Oct 2025</t>
        </is>
      </c>
      <c r="B10" s="362" t="n">
        <v>744</v>
      </c>
      <c r="C10" s="363" t="n">
        <v>270.05</v>
      </c>
      <c r="D10" s="363" t="n">
        <v>473.95</v>
      </c>
      <c r="E10" s="364" t="n">
        <v>0.363</v>
      </c>
      <c r="F10" s="365" t="n">
        <v>246.95</v>
      </c>
      <c r="G10" s="365" t="n">
        <v>497.05</v>
      </c>
      <c r="H10" s="366" t="n">
        <v>0.332</v>
      </c>
      <c r="I10" s="367" t="n">
        <v>0</v>
      </c>
      <c r="J10" s="367" t="n">
        <v>744</v>
      </c>
      <c r="K10" s="368" t="n">
        <v>0</v>
      </c>
      <c r="L10" s="369" t="inlineStr">
        <is>
          <t>P-101 &amp; P-102 active  ·  P-103 not yet commissioned</t>
        </is>
      </c>
    </row>
    <row r="11" ht="15" customHeight="1" s="273">
      <c r="A11" s="370" t="inlineStr">
        <is>
          <t>Nov 2025</t>
        </is>
      </c>
      <c r="B11" s="371" t="n">
        <v>720</v>
      </c>
      <c r="C11" s="363" t="n">
        <v>218.52</v>
      </c>
      <c r="D11" s="363" t="n">
        <v>501.48</v>
      </c>
      <c r="E11" s="364" t="n">
        <v>0.304</v>
      </c>
      <c r="F11" s="365" t="n">
        <v>195.87</v>
      </c>
      <c r="G11" s="365" t="n">
        <v>524.13</v>
      </c>
      <c r="H11" s="366" t="n">
        <v>0.272</v>
      </c>
      <c r="I11" s="367" t="n">
        <v>0</v>
      </c>
      <c r="J11" s="367" t="n">
        <v>720</v>
      </c>
      <c r="K11" s="368" t="n">
        <v>0</v>
      </c>
      <c r="L11" s="372" t="inlineStr">
        <is>
          <t>P-101 &amp; P-102 active  ·  P-103 not yet commissioned</t>
        </is>
      </c>
    </row>
    <row r="12" ht="15" customHeight="1" s="273">
      <c r="A12" s="361" t="inlineStr">
        <is>
          <t>Dec 2025</t>
        </is>
      </c>
      <c r="B12" s="362" t="n">
        <v>744</v>
      </c>
      <c r="C12" s="363" t="n">
        <v>205.55</v>
      </c>
      <c r="D12" s="363" t="n">
        <v>538.45</v>
      </c>
      <c r="E12" s="364" t="n">
        <v>0.276</v>
      </c>
      <c r="F12" s="365" t="n">
        <v>228.55</v>
      </c>
      <c r="G12" s="365" t="n">
        <v>515.45</v>
      </c>
      <c r="H12" s="366" t="n">
        <v>0.307</v>
      </c>
      <c r="I12" s="367" t="n">
        <v>0</v>
      </c>
      <c r="J12" s="367" t="n">
        <v>744</v>
      </c>
      <c r="K12" s="368" t="n">
        <v>0</v>
      </c>
      <c r="L12" s="369" t="inlineStr">
        <is>
          <t>P-101 &amp; P-102 active  ·  P-103 not yet commissioned</t>
        </is>
      </c>
    </row>
    <row r="13" ht="15" customHeight="1" s="273">
      <c r="A13" s="370" t="inlineStr">
        <is>
          <t>Jan 2026</t>
        </is>
      </c>
      <c r="B13" s="371" t="n">
        <v>744</v>
      </c>
      <c r="C13" s="363" t="n">
        <v>248.12</v>
      </c>
      <c r="D13" s="363" t="n">
        <v>495.88</v>
      </c>
      <c r="E13" s="364" t="n">
        <v>0.333</v>
      </c>
      <c r="F13" s="365" t="n">
        <v>275.9</v>
      </c>
      <c r="G13" s="365" t="n">
        <v>468.1</v>
      </c>
      <c r="H13" s="366" t="n">
        <v>0.371</v>
      </c>
      <c r="I13" s="367" t="n">
        <v>91.42</v>
      </c>
      <c r="J13" s="367" t="n">
        <v>652.58</v>
      </c>
      <c r="K13" s="368" t="n">
        <v>0.123</v>
      </c>
      <c r="L13" s="372" t="inlineStr">
        <is>
          <t>P-101 &amp; P-102 active  ·  P-103 commissioned Jan 2026</t>
        </is>
      </c>
    </row>
    <row r="14" ht="15" customHeight="1" s="273">
      <c r="A14" s="361" t="inlineStr">
        <is>
          <t>Feb 2026</t>
        </is>
      </c>
      <c r="B14" s="362" t="n">
        <v>672</v>
      </c>
      <c r="C14" s="363" t="n">
        <v>282.57</v>
      </c>
      <c r="D14" s="363" t="n">
        <v>389.43</v>
      </c>
      <c r="E14" s="364" t="n">
        <v>0.42</v>
      </c>
      <c r="F14" s="365" t="n">
        <v>245.2</v>
      </c>
      <c r="G14" s="365" t="n">
        <v>426.8</v>
      </c>
      <c r="H14" s="366" t="n">
        <v>0.365</v>
      </c>
      <c r="I14" s="367" t="n">
        <v>247.47</v>
      </c>
      <c r="J14" s="367" t="n">
        <v>424.53</v>
      </c>
      <c r="K14" s="368" t="n">
        <v>0.368</v>
      </c>
      <c r="L14" s="369" t="inlineStr">
        <is>
          <t>All 3 pumps active</t>
        </is>
      </c>
    </row>
    <row r="15" ht="15" customHeight="1" s="273">
      <c r="A15" s="370" t="inlineStr">
        <is>
          <t>Mar 2026†</t>
        </is>
      </c>
      <c r="B15" s="371" t="n">
        <v>744</v>
      </c>
      <c r="C15" s="363" t="n">
        <v>256</v>
      </c>
      <c r="D15" s="363" t="n">
        <v>488</v>
      </c>
      <c r="E15" s="364" t="n">
        <v>0.344</v>
      </c>
      <c r="F15" s="365" t="n">
        <v>263.7</v>
      </c>
      <c r="G15" s="365" t="n">
        <v>480.3</v>
      </c>
      <c r="H15" s="366" t="n">
        <v>0.354</v>
      </c>
      <c r="I15" s="367" t="n">
        <v>196.22</v>
      </c>
      <c r="J15" s="367" t="n">
        <v>547.78</v>
      </c>
      <c r="K15" s="368" t="n">
        <v>0.264</v>
      </c>
      <c r="L15" s="372" t="inlineStr">
        <is>
          <t>All 3 pumps active · Partial month thru Mar 30</t>
        </is>
      </c>
    </row>
    <row r="16" ht="15" customHeight="1" s="273"/>
    <row r="17" ht="15" customHeight="1" s="273">
      <c r="A17" s="373" t="inlineStr">
        <is>
          <t>TOTALS</t>
        </is>
      </c>
      <c r="B17" s="374" t="n">
        <v>7320</v>
      </c>
      <c r="C17" s="375" t="n">
        <v>2288</v>
      </c>
      <c r="D17" s="375" t="n">
        <v>5032</v>
      </c>
      <c r="E17" s="376" t="n">
        <v>0.314</v>
      </c>
      <c r="F17" s="377" t="n">
        <v>2068.9</v>
      </c>
      <c r="G17" s="377" t="n">
        <v>5251.1</v>
      </c>
      <c r="H17" s="378" t="n">
        <v>0.284</v>
      </c>
      <c r="I17" s="379" t="n">
        <v>455.1</v>
      </c>
      <c r="J17" s="379" t="n">
        <v>6864.9</v>
      </c>
      <c r="K17" s="380" t="n">
        <v>0.065</v>
      </c>
      <c r="L17" s="381" t="inlineStr">
        <is>
          <t>Avg util % across all months shown</t>
        </is>
      </c>
    </row>
  </sheetData>
  <mergeCells count="5">
    <mergeCell ref="A2:L2"/>
    <mergeCell ref="A1:L1"/>
    <mergeCell ref="C4:E4"/>
    <mergeCell ref="F4:H4"/>
    <mergeCell ref="I4:K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272" min="1" max="2"/>
    <col width="14" customWidth="1" style="272" min="3" max="3"/>
    <col width="10" customWidth="1" style="272" min="4" max="5"/>
    <col width="12" customWidth="1" style="272" min="6" max="9"/>
    <col width="22" customWidth="1" style="272" min="10" max="10"/>
    <col width="30" customWidth="1" style="272" min="11" max="12"/>
    <col width="11" customWidth="1" style="272" min="13" max="14"/>
  </cols>
  <sheetData>
    <row r="1" ht="36" customHeight="1" s="273">
      <c r="A1" s="274" t="inlineStr">
        <is>
          <t>|  GENERATOR MAINTENANCE CALENDAR  (DGK25F — Shindaiwa/Isuzu 4LE2T)</t>
        </is>
      </c>
    </row>
    <row r="2" ht="15.75" customHeight="1" s="273">
      <c r="A2" s="382" t="inlineStr">
        <is>
          <t>All maintenance reset: March 19, 2026  ·  Generators run 24 hrs/day  ·  One generator per pump (P-101 / P-102 / P-103)</t>
        </is>
      </c>
    </row>
    <row r="3" ht="19.5" customHeight="1" s="273">
      <c r="A3" s="383" t="inlineStr">
        <is>
          <t xml:space="preserve">  MAINTENANCE COST SUMMARY  —  All 3 Generators Combined  (Parts Only · Actual NAPA Pricing)</t>
        </is>
      </c>
      <c r="B3" s="354" t="n"/>
      <c r="C3" s="354" t="n"/>
      <c r="D3" s="354" t="n"/>
      <c r="E3" s="354" t="n"/>
      <c r="F3" s="354" t="n"/>
      <c r="G3" s="354" t="n"/>
      <c r="H3" s="354" t="n"/>
      <c r="I3" s="354" t="n"/>
      <c r="J3" s="354" t="n"/>
      <c r="K3" s="354" t="n"/>
      <c r="L3" s="354" t="n"/>
      <c r="M3" s="354" t="n"/>
      <c r="N3" s="355" t="n"/>
    </row>
    <row r="4" ht="15.75" customHeight="1" s="273">
      <c r="A4" s="384" t="inlineStr">
        <is>
          <t>Green = confirmed from NAPA invoices  ·  Yellow (~) = estimated, pending invoice  ·  Running 24 hrs/day = 8,760 hrs/yr per generator  ·  Distributor labor (valve clearance, injectors, insulation) not included</t>
        </is>
      </c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  <c r="N4" s="355" t="n"/>
    </row>
    <row r="5" ht="7.5" customHeight="1" s="273"/>
    <row r="6" ht="30" customHeight="1" s="273">
      <c r="A6" s="385" t="inlineStr">
        <is>
          <t>~$1,201</t>
        </is>
      </c>
      <c r="B6" s="354" t="n"/>
      <c r="C6" s="354" t="n"/>
      <c r="D6" s="354" t="n"/>
      <c r="E6" s="354" t="n"/>
      <c r="F6" s="354" t="n"/>
      <c r="G6" s="354" t="n"/>
      <c r="H6" s="354" t="n"/>
      <c r="I6" s="354" t="n"/>
      <c r="J6" s="354" t="n"/>
      <c r="K6" s="354" t="n"/>
      <c r="L6" s="355" t="n"/>
    </row>
    <row r="7" ht="18" customHeight="1" s="273">
      <c r="A7" s="386" t="inlineStr">
        <is>
          <t>Monthly Avg
(3 Gens)</t>
        </is>
      </c>
      <c r="B7" s="355" t="n"/>
      <c r="C7" s="386" t="inlineStr">
        <is>
          <t>Annual Total
(3 Gens)</t>
        </is>
      </c>
      <c r="D7" s="355" t="n"/>
      <c r="E7" s="387" t="inlineStr">
        <is>
          <t>Annual Total
(Per Gen)</t>
        </is>
      </c>
      <c r="F7" s="355" t="n"/>
      <c r="G7" s="387" t="inlineStr">
        <is>
          <t>Confirmed
(Annual · 3 Gens)</t>
        </is>
      </c>
      <c r="H7" s="355" t="n"/>
      <c r="I7" s="388" t="inlineStr">
        <is>
          <t>Estimated ~
(Annual · 3 Gens)</t>
        </is>
      </c>
      <c r="J7" s="389" t="n"/>
      <c r="K7" s="388" t="inlineStr">
        <is>
          <t>Distributor
Labor</t>
        </is>
      </c>
      <c r="L7" s="389" t="n"/>
    </row>
    <row r="8" ht="7.5" customHeight="1" s="273">
      <c r="A8" s="272" t="n"/>
      <c r="C8" s="272" t="n"/>
      <c r="E8" s="272" t="n"/>
      <c r="H8" s="272" t="n"/>
    </row>
    <row r="9" ht="15.75" customHeight="1" s="273">
      <c r="A9" s="390" t="inlineStr">
        <is>
          <t xml:space="preserve">  PER-EVENT COST  —  Cost Each Time Task Is Performed  (All 3 Generators)</t>
        </is>
      </c>
      <c r="B9" s="354" t="n"/>
      <c r="C9" s="354" t="n"/>
      <c r="D9" s="354" t="n"/>
      <c r="E9" s="354" t="n"/>
      <c r="F9" s="354" t="n"/>
      <c r="G9" s="354" t="n"/>
      <c r="H9" s="354" t="n"/>
      <c r="I9" s="354" t="n"/>
      <c r="J9" s="354" t="n"/>
      <c r="K9" s="354" t="n"/>
      <c r="L9" s="354" t="n"/>
      <c r="M9" s="354" t="n"/>
      <c r="N9" s="355" t="n"/>
    </row>
    <row r="10" ht="27.75" customHeight="1" s="273">
      <c r="A10" s="360" t="inlineStr">
        <is>
          <t>Task</t>
        </is>
      </c>
      <c r="B10" s="355" t="n"/>
      <c r="C10" s="389" t="n"/>
      <c r="D10" s="355" t="n"/>
      <c r="E10" s="360" t="inlineStr">
        <is>
          <t>Cost / Event
(1 Generator)</t>
        </is>
      </c>
      <c r="F10" s="355" t="n"/>
      <c r="G10" s="360" t="inlineStr">
        <is>
          <t>Cost / Event
(3 Generators)</t>
        </is>
      </c>
      <c r="H10" s="389" t="n"/>
      <c r="I10" s="354" t="n"/>
      <c r="J10" s="354" t="n"/>
      <c r="K10" s="354" t="n"/>
      <c r="L10" s="355" t="n"/>
      <c r="M10" s="360" t="inlineStr">
        <is>
          <t>Annual Cost
(3 Gens)</t>
        </is>
      </c>
      <c r="N10" s="355" t="n"/>
    </row>
    <row r="11" ht="15" customHeight="1" s="273">
      <c r="A11" s="391" t="inlineStr">
        <is>
          <t>Engine Oil Replace</t>
        </is>
      </c>
      <c r="B11" s="355" t="n"/>
      <c r="C11" s="389" t="n"/>
      <c r="D11" s="355" t="n"/>
      <c r="E11" s="392" t="n">
        <v>38.14</v>
      </c>
      <c r="F11" s="355" t="n"/>
      <c r="G11" s="392" t="n">
        <v>114.42</v>
      </c>
      <c r="H11" s="355" t="n"/>
      <c r="I11" s="393" t="inlineStr">
        <is>
          <t>8.76×/mo</t>
        </is>
      </c>
      <c r="J11" s="389" t="n"/>
      <c r="K11" s="392" t="n">
        <v>334.1064</v>
      </c>
      <c r="L11" s="389" t="n"/>
      <c r="M11" s="394" t="n">
        <v>4009.2768</v>
      </c>
      <c r="N11" s="355" t="n"/>
    </row>
    <row r="12" ht="15" customHeight="1" s="273">
      <c r="A12" s="395" t="inlineStr">
        <is>
          <t>Oil Filter Replace</t>
        </is>
      </c>
      <c r="B12" s="354" t="n"/>
      <c r="C12" s="355" t="n"/>
      <c r="D12" s="396" t="inlineStr">
        <is>
          <t>Every 500 hrs</t>
        </is>
      </c>
      <c r="E12" s="392" t="n">
        <v>9.09</v>
      </c>
      <c r="F12" s="355" t="n"/>
      <c r="G12" s="392" t="n">
        <v>27.27</v>
      </c>
      <c r="H12" s="389" t="n"/>
      <c r="I12" s="354" t="n"/>
      <c r="J12" s="354" t="n"/>
      <c r="K12" s="354" t="n"/>
      <c r="L12" s="355" t="n"/>
      <c r="M12" s="394" t="n">
        <v>477.7704</v>
      </c>
      <c r="N12" s="355" t="n"/>
    </row>
    <row r="13" ht="15" customHeight="1" s="273">
      <c r="A13" s="397" t="inlineStr">
        <is>
          <t>Air Filter Clean</t>
        </is>
      </c>
      <c r="B13" s="354" t="n"/>
      <c r="C13" s="355" t="n"/>
      <c r="D13" s="393" t="inlineStr">
        <is>
          <t>Every 250 hrs</t>
        </is>
      </c>
      <c r="E13" s="398" t="inlineStr">
        <is>
          <t>—</t>
        </is>
      </c>
      <c r="F13" s="355" t="n"/>
      <c r="G13" s="398" t="inlineStr">
        <is>
          <t>—</t>
        </is>
      </c>
      <c r="H13" s="355" t="n"/>
      <c r="I13" s="398" t="inlineStr">
        <is>
          <t>8.76×/mo</t>
        </is>
      </c>
      <c r="J13" s="389" t="n"/>
      <c r="K13" s="398" t="inlineStr">
        <is>
          <t>—</t>
        </is>
      </c>
      <c r="L13" s="389" t="n"/>
      <c r="M13" s="398" t="inlineStr">
        <is>
          <t>—</t>
        </is>
      </c>
      <c r="N13" s="355" t="n"/>
    </row>
    <row r="14" ht="15" customHeight="1" s="273">
      <c r="A14" s="395" t="inlineStr">
        <is>
          <t>Air Filter Replace</t>
        </is>
      </c>
      <c r="B14" s="354" t="n"/>
      <c r="C14" s="355" t="n"/>
      <c r="D14" s="396" t="inlineStr">
        <is>
          <t>Every 500 hrs</t>
        </is>
      </c>
      <c r="E14" s="392" t="n">
        <v>55.12</v>
      </c>
      <c r="F14" s="355" t="n"/>
      <c r="G14" s="392" t="n">
        <v>165.36</v>
      </c>
      <c r="H14" s="355" t="n"/>
      <c r="I14" s="396" t="inlineStr">
        <is>
          <t>4.38×/mo</t>
        </is>
      </c>
      <c r="J14" s="355" t="n"/>
      <c r="K14" s="392" t="n">
        <v>241.4256</v>
      </c>
      <c r="L14" s="355" t="n"/>
      <c r="M14" s="394" t="n">
        <v>2897.1072</v>
      </c>
      <c r="N14" s="355" t="n"/>
    </row>
    <row r="15" ht="15" customHeight="1" s="273">
      <c r="A15" s="391" t="inlineStr">
        <is>
          <t>Fuel Filter Replace (Main)</t>
        </is>
      </c>
      <c r="B15" s="354" t="n"/>
      <c r="C15" s="354" t="n"/>
      <c r="D15" s="354" t="n"/>
      <c r="E15" s="354" t="n"/>
      <c r="F15" s="354" t="n"/>
      <c r="G15" s="354" t="n"/>
      <c r="H15" s="354" t="n"/>
      <c r="I15" s="354" t="n"/>
      <c r="J15" s="354" t="n"/>
      <c r="K15" s="354" t="n"/>
      <c r="L15" s="355" t="n"/>
      <c r="M15" s="399" t="n">
        <v>2365.2</v>
      </c>
      <c r="N15" s="355" t="n"/>
    </row>
    <row r="16" ht="15" customHeight="1" s="273">
      <c r="A16" s="395" t="inlineStr">
        <is>
          <t>Fuel Filter Replace (Pre)</t>
        </is>
      </c>
      <c r="B16" s="354" t="n"/>
      <c r="C16" s="355" t="n"/>
      <c r="D16" s="396" t="inlineStr">
        <is>
          <t>Every 500 hrs</t>
        </is>
      </c>
      <c r="E16" s="400" t="n">
        <v>35</v>
      </c>
      <c r="F16" s="355" t="n"/>
      <c r="G16" s="400" t="n">
        <v>105</v>
      </c>
      <c r="H16" s="355" t="n"/>
      <c r="I16" s="396" t="inlineStr">
        <is>
          <t>4.38×/mo</t>
        </is>
      </c>
      <c r="J16" s="355" t="n"/>
      <c r="K16" s="400" t="n">
        <v>153.3</v>
      </c>
      <c r="L16" s="355" t="n"/>
      <c r="M16" s="399" t="n">
        <v>1839.6</v>
      </c>
      <c r="N16" s="355" t="n"/>
    </row>
    <row r="17" ht="15" customHeight="1" s="273">
      <c r="A17" s="391" t="inlineStr">
        <is>
          <t>EM Pump Filter</t>
        </is>
      </c>
      <c r="B17" s="354" t="n"/>
      <c r="C17" s="355" t="n"/>
      <c r="D17" s="393" t="inlineStr">
        <is>
          <t>Every 500 hrs</t>
        </is>
      </c>
      <c r="E17" s="400" t="n">
        <v>8</v>
      </c>
      <c r="F17" s="355" t="n"/>
      <c r="G17" s="400" t="n">
        <v>24</v>
      </c>
      <c r="H17" s="355" t="n"/>
      <c r="I17" s="393" t="inlineStr">
        <is>
          <t>4.38×/mo</t>
        </is>
      </c>
      <c r="J17" s="355" t="n"/>
      <c r="K17" s="400" t="n">
        <v>35.04</v>
      </c>
      <c r="L17" s="355" t="n"/>
      <c r="M17" s="399" t="n">
        <v>420.48</v>
      </c>
      <c r="N17" s="355" t="n"/>
    </row>
    <row r="18" ht="15" customHeight="1" s="273">
      <c r="A18" s="401" t="inlineStr">
        <is>
          <t>Exhaust Carbon Purge</t>
        </is>
      </c>
      <c r="B18" s="354" t="n"/>
      <c r="C18" s="355" t="n"/>
      <c r="D18" s="396" t="inlineStr">
        <is>
          <t>Every 250 hrs</t>
        </is>
      </c>
      <c r="E18" s="402" t="inlineStr">
        <is>
          <t>—</t>
        </is>
      </c>
      <c r="F18" s="355" t="n"/>
      <c r="G18" s="402" t="inlineStr">
        <is>
          <t>—</t>
        </is>
      </c>
      <c r="H18" s="355" t="n"/>
      <c r="I18" s="402" t="inlineStr">
        <is>
          <t>8.76×/mo</t>
        </is>
      </c>
      <c r="J18" s="355" t="n"/>
      <c r="K18" s="402" t="inlineStr">
        <is>
          <t>—</t>
        </is>
      </c>
      <c r="L18" s="355" t="n"/>
      <c r="M18" s="402" t="inlineStr">
        <is>
          <t>—</t>
        </is>
      </c>
      <c r="N18" s="355" t="n"/>
    </row>
    <row r="19" ht="15" customHeight="1" s="273">
      <c r="A19" s="391" t="inlineStr">
        <is>
          <t>Fuel Tank Drain Packing</t>
        </is>
      </c>
      <c r="B19" s="354" t="n"/>
      <c r="C19" s="355" t="n"/>
      <c r="D19" s="393" t="inlineStr">
        <is>
          <t>Every 250 hrs</t>
        </is>
      </c>
      <c r="E19" s="400" t="n">
        <v>2</v>
      </c>
      <c r="F19" s="355" t="n"/>
      <c r="G19" s="400" t="n">
        <v>6</v>
      </c>
      <c r="H19" s="355" t="n"/>
      <c r="I19" s="393" t="inlineStr">
        <is>
          <t>8.76×/mo</t>
        </is>
      </c>
      <c r="J19" s="355" t="n"/>
      <c r="K19" s="400" t="n">
        <v>17.52</v>
      </c>
      <c r="L19" s="355" t="n"/>
      <c r="M19" s="399" t="n">
        <v>210.24</v>
      </c>
      <c r="N19" s="355" t="n"/>
    </row>
    <row r="20" ht="15" customHeight="1" s="273">
      <c r="A20" s="401" t="inlineStr">
        <is>
          <t>Spill Containment Clean</t>
        </is>
      </c>
      <c r="B20" s="354" t="n"/>
      <c r="C20" s="355" t="n"/>
      <c r="D20" s="396" t="inlineStr">
        <is>
          <t>Every 500 hrs</t>
        </is>
      </c>
      <c r="E20" s="402" t="inlineStr">
        <is>
          <t>—</t>
        </is>
      </c>
      <c r="F20" s="355" t="n"/>
      <c r="G20" s="402" t="inlineStr">
        <is>
          <t>—</t>
        </is>
      </c>
      <c r="H20" s="355" t="n"/>
      <c r="I20" s="402" t="inlineStr">
        <is>
          <t>4.38×/mo</t>
        </is>
      </c>
      <c r="J20" s="355" t="n"/>
      <c r="K20" s="402" t="inlineStr">
        <is>
          <t>—</t>
        </is>
      </c>
      <c r="L20" s="355" t="n"/>
      <c r="M20" s="402" t="inlineStr">
        <is>
          <t>—</t>
        </is>
      </c>
      <c r="N20" s="355" t="n"/>
    </row>
    <row r="21" ht="15" customHeight="1" s="273">
      <c r="A21" s="391" t="inlineStr">
        <is>
          <t>Coolant Replace</t>
        </is>
      </c>
      <c r="B21" s="354" t="n"/>
      <c r="C21" s="355" t="n"/>
      <c r="D21" s="393" t="inlineStr">
        <is>
          <t>Every 1000 hrs</t>
        </is>
      </c>
      <c r="E21" s="392" t="n">
        <v>26.86</v>
      </c>
      <c r="F21" s="355" t="n"/>
      <c r="G21" s="392" t="n">
        <v>80.58</v>
      </c>
      <c r="H21" s="355" t="n"/>
      <c r="I21" s="393" t="inlineStr">
        <is>
          <t>2.19×/mo</t>
        </is>
      </c>
      <c r="J21" s="355" t="n"/>
      <c r="K21" s="392" t="n">
        <v>58.8234</v>
      </c>
      <c r="L21" s="355" t="n"/>
      <c r="M21" s="394" t="n">
        <v>705.8808</v>
      </c>
      <c r="N21" s="355" t="n"/>
    </row>
    <row r="22" ht="15" customHeight="1" s="273">
      <c r="A22" s="395" t="inlineStr">
        <is>
          <t>Fan Belt Replace</t>
        </is>
      </c>
      <c r="B22" s="354" t="n"/>
      <c r="C22" s="355" t="n"/>
      <c r="D22" s="396" t="inlineStr">
        <is>
          <t>Every 1500 hrs</t>
        </is>
      </c>
      <c r="E22" s="400" t="n">
        <v>85</v>
      </c>
      <c r="F22" s="355" t="n"/>
      <c r="G22" s="400" t="n">
        <v>255</v>
      </c>
      <c r="H22" s="355" t="n"/>
      <c r="I22" s="396" t="inlineStr">
        <is>
          <t>1.46×/mo</t>
        </is>
      </c>
      <c r="J22" s="355" t="n"/>
      <c r="K22" s="400" t="n">
        <v>124.1</v>
      </c>
      <c r="L22" s="355" t="n"/>
      <c r="M22" s="399" t="n">
        <v>1489.2</v>
      </c>
      <c r="N22" s="355" t="n"/>
    </row>
    <row r="23" ht="15" customHeight="1" s="273">
      <c r="A23" s="397" t="inlineStr">
        <is>
          <t>Valve Clearance</t>
        </is>
      </c>
      <c r="B23" s="354" t="n"/>
      <c r="C23" s="355" t="n"/>
      <c r="D23" s="393" t="inlineStr">
        <is>
          <t>Every 1500 hrs</t>
        </is>
      </c>
      <c r="E23" s="403" t="inlineStr">
        <is>
          <t>TBD</t>
        </is>
      </c>
      <c r="F23" s="355" t="n"/>
      <c r="G23" s="403" t="inlineStr">
        <is>
          <t>TBD</t>
        </is>
      </c>
      <c r="H23" s="355" t="n"/>
      <c r="I23" s="398" t="inlineStr">
        <is>
          <t>1.46×/mo</t>
        </is>
      </c>
      <c r="J23" s="355" t="n"/>
      <c r="K23" s="403" t="inlineStr">
        <is>
          <t>TBD</t>
        </is>
      </c>
      <c r="L23" s="355" t="n"/>
      <c r="M23" s="403" t="inlineStr">
        <is>
          <t>TBD</t>
        </is>
      </c>
      <c r="N23" s="355" t="n"/>
    </row>
    <row r="24" ht="15" customHeight="1" s="273">
      <c r="A24" s="401" t="inlineStr">
        <is>
          <t>Fuel Injector Check</t>
        </is>
      </c>
      <c r="B24" s="354" t="n"/>
      <c r="C24" s="355" t="n"/>
      <c r="D24" s="396" t="inlineStr">
        <is>
          <t>Every 3000 hrs</t>
        </is>
      </c>
      <c r="E24" s="403" t="inlineStr">
        <is>
          <t>TBD</t>
        </is>
      </c>
      <c r="F24" s="355" t="n"/>
      <c r="G24" s="403" t="inlineStr">
        <is>
          <t>TBD</t>
        </is>
      </c>
      <c r="H24" s="355" t="n"/>
      <c r="I24" s="402" t="inlineStr">
        <is>
          <t>0.73×/mo</t>
        </is>
      </c>
      <c r="J24" s="355" t="n"/>
      <c r="K24" s="403" t="inlineStr">
        <is>
          <t>TBD</t>
        </is>
      </c>
      <c r="L24" s="355" t="n"/>
      <c r="M24" s="403" t="inlineStr">
        <is>
          <t>TBD</t>
        </is>
      </c>
      <c r="N24" s="355" t="n"/>
    </row>
    <row r="25" ht="15" customHeight="1" s="273">
      <c r="A25" s="397" t="inlineStr">
        <is>
          <t>Insulation Test</t>
        </is>
      </c>
      <c r="B25" s="354" t="n"/>
      <c r="C25" s="355" t="n"/>
      <c r="D25" s="393" t="inlineStr">
        <is>
          <t>Every 3000 hrs</t>
        </is>
      </c>
      <c r="E25" s="403" t="inlineStr">
        <is>
          <t>TBD</t>
        </is>
      </c>
      <c r="F25" s="355" t="n"/>
      <c r="G25" s="403" t="inlineStr">
        <is>
          <t>TBD</t>
        </is>
      </c>
      <c r="H25" s="355" t="n"/>
      <c r="I25" s="398" t="inlineStr">
        <is>
          <t>0.73×/mo</t>
        </is>
      </c>
      <c r="J25" s="355" t="n"/>
      <c r="K25" s="403" t="inlineStr">
        <is>
          <t>TBD</t>
        </is>
      </c>
      <c r="L25" s="355" t="n"/>
      <c r="M25" s="403" t="inlineStr">
        <is>
          <t>TBD</t>
        </is>
      </c>
      <c r="N25" s="355" t="n"/>
    </row>
    <row r="26" ht="19.5" customHeight="1" s="273">
      <c r="A26" s="404" t="inlineStr">
        <is>
          <t>TOTAL — ALL TASKS · ALL 3 GENERATORS · PARTS ONLY</t>
        </is>
      </c>
      <c r="B26" s="355" t="n"/>
      <c r="C26" s="389" t="n"/>
      <c r="D26" s="389" t="n"/>
      <c r="E26" s="389" t="n"/>
      <c r="F26" s="389" t="n"/>
      <c r="G26" s="389" t="n"/>
      <c r="H26" s="389" t="n"/>
      <c r="I26" s="314" t="n"/>
      <c r="J26" s="355" t="n"/>
      <c r="K26" s="405" t="n">
        <v>1201.2296</v>
      </c>
      <c r="L26" s="355" t="n"/>
      <c r="M26" s="405" t="n">
        <v>14414.7552</v>
      </c>
      <c r="N26" s="355" t="n"/>
    </row>
    <row r="27" ht="7.5" customHeight="1" s="273">
      <c r="A27" s="272" t="n"/>
      <c r="K27" s="272" t="n"/>
    </row>
    <row r="28" ht="13.5" customHeight="1" s="273">
      <c r="A28" s="406" t="inlineStr">
        <is>
          <t xml:space="preserve">  DAILY TASKS  (perform every day before / during / after operation)</t>
        </is>
      </c>
      <c r="K28" s="272" t="n"/>
    </row>
    <row r="29" ht="13.5" customHeight="1" s="273">
      <c r="A29" s="360" t="inlineStr">
        <is>
          <t>Task</t>
        </is>
      </c>
      <c r="B29" s="355" t="n"/>
      <c r="C29" s="360" t="inlineStr">
        <is>
          <t>Interval</t>
        </is>
      </c>
      <c r="D29" s="407" t="n"/>
      <c r="E29" s="360" t="inlineStr">
        <is>
          <t>Part No.</t>
        </is>
      </c>
      <c r="F29" s="407" t="n"/>
      <c r="G29" s="360" t="inlineStr">
        <is>
          <t>Status</t>
        </is>
      </c>
      <c r="H29" s="360" t="inlineStr">
        <is>
          <t>Notes</t>
        </is>
      </c>
      <c r="I29" s="408" t="n"/>
      <c r="J29" s="408" t="n"/>
      <c r="K29" s="407" t="n"/>
      <c r="L29" s="355" t="n"/>
    </row>
    <row r="30" ht="13.5" customHeight="1" s="273">
      <c r="A30" s="409" t="inlineStr">
        <is>
          <t>Engine Oil Check/Add</t>
        </is>
      </c>
      <c r="B30" s="354" t="n"/>
      <c r="C30" s="410" t="inlineStr">
        <is>
          <t>Daily</t>
        </is>
      </c>
      <c r="D30" s="408" t="n"/>
      <c r="E30" s="410" t="inlineStr">
        <is>
          <t>—</t>
        </is>
      </c>
      <c r="F30" s="408" t="n"/>
      <c r="G30" s="411" t="inlineStr">
        <is>
          <t>DAILY</t>
        </is>
      </c>
      <c r="H30" s="409" t="inlineStr">
        <is>
          <t>Daily visual — check before startup</t>
        </is>
      </c>
      <c r="I30" s="408" t="n"/>
      <c r="J30" s="408" t="n"/>
      <c r="K30" s="408" t="n"/>
      <c r="L30" s="354" t="n"/>
    </row>
    <row r="31" ht="13.5" customHeight="1" s="273">
      <c r="A31" s="412" t="inlineStr">
        <is>
          <t>Fuel Filter Drain (Water/Sediment)</t>
        </is>
      </c>
      <c r="B31" s="354" t="n"/>
      <c r="C31" s="413" t="inlineStr">
        <is>
          <t>Daily</t>
        </is>
      </c>
      <c r="D31" s="408" t="n"/>
      <c r="E31" s="413" t="inlineStr">
        <is>
          <t>—</t>
        </is>
      </c>
      <c r="F31" s="408" t="n"/>
      <c r="G31" s="411" t="inlineStr">
        <is>
          <t>DAILY</t>
        </is>
      </c>
      <c r="H31" s="412" t="inlineStr">
        <is>
          <t>Daily — drain if red float rises</t>
        </is>
      </c>
      <c r="I31" s="408" t="n"/>
      <c r="J31" s="408" t="n"/>
      <c r="K31" s="408" t="n"/>
      <c r="L31" s="354" t="n"/>
    </row>
    <row r="32" ht="7.5" customHeight="1" s="273">
      <c r="A32" s="409" t="inlineStr">
        <is>
          <t>Spill Containment Check/Drain</t>
        </is>
      </c>
      <c r="B32" s="408" t="n"/>
      <c r="C32" s="410" t="inlineStr">
        <is>
          <t>Daily</t>
        </is>
      </c>
      <c r="D32" s="408" t="n"/>
      <c r="E32" s="410" t="inlineStr">
        <is>
          <t>—</t>
        </is>
      </c>
      <c r="F32" s="408" t="n"/>
      <c r="G32" s="411" t="inlineStr">
        <is>
          <t>DAILY</t>
        </is>
      </c>
      <c r="H32" s="409" t="inlineStr">
        <is>
          <t>Daily — open check door, drain if liquid present</t>
        </is>
      </c>
      <c r="I32" s="408" t="n"/>
      <c r="J32" s="408" t="n"/>
      <c r="K32" s="408" t="n"/>
      <c r="L32" s="408" t="n"/>
    </row>
    <row r="33" ht="15.75" customHeight="1" s="273">
      <c r="A33" s="412" t="inlineStr">
        <is>
          <t>Check for Fuel/Oil/Coolant Leaks</t>
        </is>
      </c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</row>
    <row r="34" ht="27.75" customHeight="1" s="273">
      <c r="A34" s="409" t="inlineStr">
        <is>
          <t>Fan Belt Inspect Tension</t>
        </is>
      </c>
      <c r="B34" s="354" t="n"/>
      <c r="C34" s="410" t="inlineStr">
        <is>
          <t>Daily</t>
        </is>
      </c>
      <c r="D34" s="408" t="n"/>
      <c r="E34" s="410" t="inlineStr">
        <is>
          <t>—</t>
        </is>
      </c>
      <c r="F34" s="408" t="n"/>
      <c r="G34" s="411" t="inlineStr">
        <is>
          <t>DAILY</t>
        </is>
      </c>
      <c r="H34" s="409" t="inlineStr">
        <is>
          <t>Check slack = 0.22–0.26 in at ~98N</t>
        </is>
      </c>
      <c r="I34" s="408" t="n"/>
      <c r="J34" s="408" t="n"/>
      <c r="K34" s="408" t="n"/>
      <c r="L34" s="354" t="n"/>
    </row>
    <row r="35" ht="13.5" customHeight="1" s="273">
      <c r="A35" s="412" t="inlineStr">
        <is>
          <t>Battery Fluid Check/Add</t>
        </is>
      </c>
      <c r="B35" s="354" t="n"/>
      <c r="C35" s="413" t="inlineStr">
        <is>
          <t>Daily</t>
        </is>
      </c>
      <c r="D35" s="408" t="n"/>
      <c r="E35" s="413" t="inlineStr">
        <is>
          <t>—</t>
        </is>
      </c>
      <c r="F35" s="408" t="n"/>
      <c r="G35" s="411" t="inlineStr">
        <is>
          <t>DAILY</t>
        </is>
      </c>
      <c r="H35" s="412" t="inlineStr">
        <is>
          <t>Pre-operation check; add distilled water if low</t>
        </is>
      </c>
      <c r="I35" s="408" t="n"/>
      <c r="J35" s="408" t="n"/>
      <c r="K35" s="408" t="n"/>
      <c r="L35" s="354" t="n"/>
    </row>
    <row r="36" ht="13.5" customHeight="1" s="273">
      <c r="A36" s="272" t="n"/>
      <c r="K36" s="272" t="n"/>
    </row>
    <row r="37" ht="13.5" customHeight="1" s="273">
      <c r="A37" s="414" t="inlineStr">
        <is>
          <t xml:space="preserve">  GEN-1 (P-101)  —  SCHEDULED MAINTENANCE</t>
        </is>
      </c>
      <c r="K37" s="272" t="n"/>
    </row>
    <row r="38" ht="13.5" customHeight="1" s="273">
      <c r="A38" s="360" t="inlineStr">
        <is>
          <t>Task</t>
        </is>
      </c>
      <c r="B38" s="355" t="n"/>
      <c r="C38" s="360" t="inlineStr">
        <is>
          <t>Interval</t>
        </is>
      </c>
      <c r="D38" s="360" t="inlineStr">
        <is>
          <t>First Due
(hrs)</t>
        </is>
      </c>
      <c r="E38" s="360" t="inlineStr">
        <is>
          <t>First Due
(date)</t>
        </is>
      </c>
      <c r="F38" s="360" t="inlineStr">
        <is>
          <t>Next Due
(hrs)</t>
        </is>
      </c>
      <c r="G38" s="360" t="inlineStr">
        <is>
          <t>Next Due
(date)</t>
        </is>
      </c>
      <c r="H38" s="360" t="inlineStr">
        <is>
          <t>Status</t>
        </is>
      </c>
      <c r="I38" s="360" t="inlineStr">
        <is>
          <t>Last Service
(enter date)</t>
        </is>
      </c>
      <c r="J38" s="360" t="inlineStr">
        <is>
          <t>Part No.</t>
        </is>
      </c>
      <c r="K38" s="360" t="inlineStr">
        <is>
          <t>Notes</t>
        </is>
      </c>
      <c r="L38" s="355" t="n"/>
      <c r="M38" s="360" t="inlineStr">
        <is>
          <t>Cost
/Event</t>
        </is>
      </c>
      <c r="N38" s="360" t="inlineStr">
        <is>
          <t>Est. Annual
Cost</t>
        </is>
      </c>
    </row>
    <row r="39" ht="13.5" customHeight="1" s="273">
      <c r="A39" s="409" t="inlineStr">
        <is>
          <t>Engine Oil Replace</t>
        </is>
      </c>
      <c r="B39" s="354" t="n"/>
      <c r="C39" s="415" t="inlineStr">
        <is>
          <t>Every 250 hrs</t>
        </is>
      </c>
      <c r="D39" s="415" t="n">
        <v>50</v>
      </c>
      <c r="E39" s="415" t="inlineStr">
        <is>
          <t>03/21/2026</t>
        </is>
      </c>
      <c r="F39" s="415" t="n">
        <v>250</v>
      </c>
      <c r="G39" s="415" t="inlineStr">
        <is>
          <t>03/29/2026</t>
        </is>
      </c>
      <c r="H39" s="411" t="inlineStr">
        <is>
          <t>OK</t>
        </is>
      </c>
      <c r="I39" s="411" t="inlineStr">
        <is>
          <t>03/12/2026</t>
        </is>
      </c>
      <c r="J39" s="415" t="inlineStr">
        <is>
          <t>—</t>
        </is>
      </c>
      <c r="K39" s="416" t="inlineStr">
        <is>
          <t>NAPA 75105 10W40 5QT × 4 · Inv#507572 · API CJ-4  |  2.7 gal total (incl. filter)</t>
        </is>
      </c>
      <c r="L39" s="354" t="n"/>
      <c r="M39" s="392" t="n">
        <v>38.14</v>
      </c>
      <c r="N39" s="394" t="n">
        <v>1336.4256</v>
      </c>
    </row>
    <row r="40" ht="13.5" customHeight="1" s="273">
      <c r="A40" s="412" t="inlineStr">
        <is>
          <t>Oil Filter Replace</t>
        </is>
      </c>
      <c r="B40" s="354" t="n"/>
      <c r="C40" s="417" t="inlineStr">
        <is>
          <t>Every 500 hrs</t>
        </is>
      </c>
      <c r="D40" s="417" t="n">
        <v>50</v>
      </c>
      <c r="E40" s="417" t="inlineStr">
        <is>
          <t>03/21/2026</t>
        </is>
      </c>
      <c r="F40" s="417" t="n">
        <v>500</v>
      </c>
      <c r="G40" s="417" t="inlineStr">
        <is>
          <t>04/08/2026</t>
        </is>
      </c>
      <c r="H40" s="411" t="inlineStr">
        <is>
          <t>OK</t>
        </is>
      </c>
      <c r="I40" s="411" t="inlineStr">
        <is>
          <t>03/12/2026</t>
        </is>
      </c>
      <c r="J40" s="417" t="inlineStr">
        <is>
          <t>8944567412</t>
        </is>
      </c>
      <c r="K40" s="418" t="inlineStr">
        <is>
          <t>NAPA 1334 Gold Oil Filter × 4 · Inv#507572 · (Isuzu 8944567412 cross-ref)</t>
        </is>
      </c>
      <c r="L40" s="354" t="n"/>
      <c r="M40" s="392" t="n">
        <v>9.09</v>
      </c>
      <c r="N40" s="394" t="n">
        <v>159.2568</v>
      </c>
    </row>
    <row r="41" ht="13.5" customHeight="1" s="273">
      <c r="A41" s="409" t="inlineStr">
        <is>
          <t>Air Filter Clean</t>
        </is>
      </c>
      <c r="B41" s="354" t="n"/>
      <c r="C41" s="415" t="inlineStr">
        <is>
          <t>Every 250 hrs</t>
        </is>
      </c>
      <c r="D41" s="415" t="n">
        <v>250</v>
      </c>
      <c r="E41" s="415" t="inlineStr">
        <is>
          <t>03/29/2026</t>
        </is>
      </c>
      <c r="F41" s="415" t="n">
        <v>250</v>
      </c>
      <c r="G41" s="415" t="inlineStr">
        <is>
          <t>03/29/2026</t>
        </is>
      </c>
      <c r="H41" s="411" t="inlineStr">
        <is>
          <t>OK</t>
        </is>
      </c>
      <c r="I41" s="419" t="n"/>
      <c r="J41" s="415" t="inlineStr">
        <is>
          <t>P822768</t>
        </is>
      </c>
      <c r="K41" s="409" t="inlineStr">
        <is>
          <t>Blow compressed air from inside out</t>
        </is>
      </c>
      <c r="L41" s="354" t="n"/>
      <c r="M41" s="398" t="inlineStr">
        <is>
          <t>—</t>
        </is>
      </c>
      <c r="N41" s="398" t="inlineStr">
        <is>
          <t>—</t>
        </is>
      </c>
    </row>
    <row r="42" ht="13.5" customHeight="1" s="273">
      <c r="A42" s="412" t="inlineStr">
        <is>
          <t>Air Filter Replace</t>
        </is>
      </c>
      <c r="B42" s="354" t="n"/>
      <c r="C42" s="417" t="inlineStr">
        <is>
          <t>Every 500 hrs</t>
        </is>
      </c>
      <c r="D42" s="417" t="n">
        <v>500</v>
      </c>
      <c r="E42" s="417" t="inlineStr">
        <is>
          <t>04/08/2026</t>
        </is>
      </c>
      <c r="F42" s="417" t="n">
        <v>500</v>
      </c>
      <c r="G42" s="417" t="inlineStr">
        <is>
          <t>04/08/2026</t>
        </is>
      </c>
      <c r="H42" s="411" t="inlineStr">
        <is>
          <t>OK</t>
        </is>
      </c>
      <c r="I42" s="411" t="inlineStr">
        <is>
          <t>03/12/2026</t>
        </is>
      </c>
      <c r="J42" s="417" t="inlineStr">
        <is>
          <t>P822768</t>
        </is>
      </c>
      <c r="K42" s="418" t="inlineStr">
        <is>
          <t>Donaldson P822768 × 4 · Inv#507572 · Replace if carbon/oil fouled; earlier if dusty</t>
        </is>
      </c>
      <c r="L42" s="354" t="n"/>
      <c r="M42" s="392" t="n">
        <v>55.12</v>
      </c>
      <c r="N42" s="394" t="n">
        <v>965.7024</v>
      </c>
    </row>
    <row r="43" ht="13.5" customHeight="1" s="273">
      <c r="A43" s="409" t="inlineStr">
        <is>
          <t>Fuel Filter Replace (Main)</t>
        </is>
      </c>
      <c r="B43" s="354" t="n"/>
      <c r="C43" s="415" t="inlineStr">
        <is>
          <t>Every 500 hrs</t>
        </is>
      </c>
      <c r="D43" s="415" t="n">
        <v>500</v>
      </c>
      <c r="E43" s="415" t="inlineStr">
        <is>
          <t>04/08/2026</t>
        </is>
      </c>
      <c r="F43" s="415" t="n">
        <v>500</v>
      </c>
      <c r="G43" s="415" t="inlineStr">
        <is>
          <t>04/08/2026</t>
        </is>
      </c>
      <c r="H43" s="411" t="inlineStr">
        <is>
          <t>OK</t>
        </is>
      </c>
      <c r="I43" s="420" t="inlineStr">
        <is>
          <t>PENDING
(NAPA)</t>
        </is>
      </c>
      <c r="J43" s="415" t="inlineStr">
        <is>
          <t>8982402800</t>
        </is>
      </c>
      <c r="K43" s="409" t="inlineStr">
        <is>
          <t>Includes O-ring  |  Bleed air after replacement</t>
        </is>
      </c>
      <c r="L43" s="354" t="n"/>
      <c r="M43" s="400" t="n">
        <v>45</v>
      </c>
      <c r="N43" s="399" t="n">
        <v>788.4</v>
      </c>
    </row>
    <row r="44" ht="13.5" customHeight="1" s="273">
      <c r="A44" s="412" t="inlineStr">
        <is>
          <t>Fuel Filter Replace (Pre)</t>
        </is>
      </c>
      <c r="B44" s="354" t="n"/>
      <c r="C44" s="417" t="inlineStr">
        <is>
          <t>Every 500 hrs</t>
        </is>
      </c>
      <c r="D44" s="417" t="n">
        <v>500</v>
      </c>
      <c r="E44" s="417" t="inlineStr">
        <is>
          <t>04/08/2026</t>
        </is>
      </c>
      <c r="F44" s="417" t="n">
        <v>500</v>
      </c>
      <c r="G44" s="417" t="inlineStr">
        <is>
          <t>04/08/2026</t>
        </is>
      </c>
      <c r="H44" s="411" t="inlineStr">
        <is>
          <t>OK</t>
        </is>
      </c>
      <c r="I44" s="420" t="inlineStr">
        <is>
          <t>PENDING
(NAPA)</t>
        </is>
      </c>
      <c r="J44" s="417" t="inlineStr">
        <is>
          <t>8982402790</t>
        </is>
      </c>
      <c r="K44" s="412" t="inlineStr">
        <is>
          <t>Includes O-ring  |  Bleed air after replacement</t>
        </is>
      </c>
      <c r="L44" s="354" t="n"/>
      <c r="M44" s="400" t="n">
        <v>35</v>
      </c>
      <c r="N44" s="399" t="n">
        <v>613.2</v>
      </c>
    </row>
    <row r="45" ht="13.5" customHeight="1" s="273">
      <c r="A45" s="409" t="inlineStr">
        <is>
          <t>EM Pump Filter Clean/Replace</t>
        </is>
      </c>
      <c r="B45" s="354" t="n"/>
      <c r="C45" s="415" t="inlineStr">
        <is>
          <t>Every 500 hrs</t>
        </is>
      </c>
      <c r="D45" s="415" t="n">
        <v>500</v>
      </c>
      <c r="E45" s="415" t="inlineStr">
        <is>
          <t>04/08/2026</t>
        </is>
      </c>
      <c r="F45" s="415" t="n">
        <v>500</v>
      </c>
      <c r="G45" s="415" t="inlineStr">
        <is>
          <t>04/08/2026</t>
        </is>
      </c>
      <c r="H45" s="411" t="inlineStr">
        <is>
          <t>OK</t>
        </is>
      </c>
      <c r="I45" s="419" t="n"/>
      <c r="J45" s="415" t="inlineStr">
        <is>
          <t>8980714010</t>
        </is>
      </c>
      <c r="K45" s="409" t="inlineStr">
        <is>
          <t>Counter-clockwise to remove cover</t>
        </is>
      </c>
      <c r="L45" s="354" t="n"/>
      <c r="M45" s="400" t="n">
        <v>8</v>
      </c>
      <c r="N45" s="399" t="n">
        <v>140.16</v>
      </c>
    </row>
    <row r="46" ht="13.5" customHeight="1" s="273">
      <c r="A46" s="412" t="inlineStr">
        <is>
          <t>Exhaust Carbon Purge</t>
        </is>
      </c>
      <c r="B46" s="354" t="n"/>
      <c r="C46" s="417" t="inlineStr">
        <is>
          <t>Every 250 hrs</t>
        </is>
      </c>
      <c r="D46" s="417" t="n">
        <v>250</v>
      </c>
      <c r="E46" s="417" t="inlineStr">
        <is>
          <t>03/29/2026</t>
        </is>
      </c>
      <c r="F46" s="417" t="n">
        <v>250</v>
      </c>
      <c r="G46" s="417" t="inlineStr">
        <is>
          <t>03/29/2026</t>
        </is>
      </c>
      <c r="H46" s="411" t="inlineStr">
        <is>
          <t>OK</t>
        </is>
      </c>
      <c r="I46" s="419" t="n"/>
      <c r="J46" s="417" t="inlineStr">
        <is>
          <t>—</t>
        </is>
      </c>
      <c r="K46" s="412" t="inlineStr">
        <is>
          <t>Run &gt;70% rated output for 30 min until exhaust clears</t>
        </is>
      </c>
      <c r="L46" s="354" t="n"/>
      <c r="M46" s="402" t="inlineStr">
        <is>
          <t>—</t>
        </is>
      </c>
      <c r="N46" s="402" t="inlineStr">
        <is>
          <t>—</t>
        </is>
      </c>
    </row>
    <row r="47" ht="13.5" customHeight="1" s="273">
      <c r="A47" s="409" t="inlineStr">
        <is>
          <t>Fuel Tank Drain Water</t>
        </is>
      </c>
      <c r="B47" s="354" t="n"/>
      <c r="C47" s="415" t="inlineStr">
        <is>
          <t>Every 250 hrs</t>
        </is>
      </c>
      <c r="D47" s="415" t="n">
        <v>250</v>
      </c>
      <c r="E47" s="415" t="inlineStr">
        <is>
          <t>03/29/2026</t>
        </is>
      </c>
      <c r="F47" s="415" t="n">
        <v>250</v>
      </c>
      <c r="G47" s="415" t="inlineStr">
        <is>
          <t>03/29/2026</t>
        </is>
      </c>
      <c r="H47" s="411" t="inlineStr">
        <is>
          <t>OK</t>
        </is>
      </c>
      <c r="I47" s="419" t="n"/>
      <c r="J47" s="415" t="inlineStr">
        <is>
          <t>V106-000110</t>
        </is>
      </c>
      <c r="K47" s="409" t="inlineStr">
        <is>
          <t>Replace drain plug packing each time</t>
        </is>
      </c>
      <c r="L47" s="354" t="n"/>
      <c r="M47" s="400" t="n">
        <v>2</v>
      </c>
      <c r="N47" s="399" t="n">
        <v>70.08</v>
      </c>
    </row>
    <row r="48" ht="13.5" customHeight="1" s="273">
      <c r="A48" s="412" t="inlineStr">
        <is>
          <t>Spill Containment Clean</t>
        </is>
      </c>
      <c r="B48" s="354" t="n"/>
      <c r="C48" s="417" t="inlineStr">
        <is>
          <t>Every 500 hrs</t>
        </is>
      </c>
      <c r="D48" s="417" t="n">
        <v>500</v>
      </c>
      <c r="E48" s="417" t="inlineStr">
        <is>
          <t>04/08/2026</t>
        </is>
      </c>
      <c r="F48" s="417" t="n">
        <v>500</v>
      </c>
      <c r="G48" s="417" t="inlineStr">
        <is>
          <t>04/08/2026</t>
        </is>
      </c>
      <c r="H48" s="411" t="inlineStr">
        <is>
          <t>OK</t>
        </is>
      </c>
      <c r="I48" s="419" t="n"/>
      <c r="J48" s="417" t="inlineStr">
        <is>
          <t>—</t>
        </is>
      </c>
      <c r="K48" s="412" t="inlineStr">
        <is>
          <t>High-pressure clean; check for rust; leak test</t>
        </is>
      </c>
      <c r="L48" s="354" t="n"/>
      <c r="M48" s="402" t="inlineStr">
        <is>
          <t>—</t>
        </is>
      </c>
      <c r="N48" s="402" t="inlineStr">
        <is>
          <t>—</t>
        </is>
      </c>
    </row>
    <row r="49" ht="13.5" customHeight="1" s="273">
      <c r="A49" s="409" t="inlineStr">
        <is>
          <t>Coolant Replace / Radiator Flush</t>
        </is>
      </c>
      <c r="B49" s="354" t="n"/>
      <c r="C49" s="415" t="inlineStr">
        <is>
          <t>Every 1000 hrs</t>
        </is>
      </c>
      <c r="D49" s="415" t="n">
        <v>1000</v>
      </c>
      <c r="E49" s="415" t="inlineStr">
        <is>
          <t>04/29/2026</t>
        </is>
      </c>
      <c r="F49" s="415" t="n">
        <v>1000</v>
      </c>
      <c r="G49" s="415" t="inlineStr">
        <is>
          <t>04/29/2026</t>
        </is>
      </c>
      <c r="H49" s="411" t="inlineStr">
        <is>
          <t>OK</t>
        </is>
      </c>
      <c r="I49" s="411" t="inlineStr">
        <is>
          <t>03/09/2026</t>
        </is>
      </c>
      <c r="J49" s="415" t="inlineStr">
        <is>
          <t>—</t>
        </is>
      </c>
      <c r="K49" s="416" t="inlineStr">
        <is>
          <t>RTU EXT LIFE GAL × 4 · Inv#507048 · Purchased for upcoming service · GM SPEC 6277M  |  50:50 LLC  |  2.6 gal total</t>
        </is>
      </c>
      <c r="L49" s="354" t="n"/>
      <c r="M49" s="392" t="n">
        <v>26.86</v>
      </c>
      <c r="N49" s="394" t="n">
        <v>235.2936</v>
      </c>
    </row>
    <row r="50" ht="7.5" customHeight="1" s="273">
      <c r="A50" s="412" t="inlineStr">
        <is>
          <t>Fan Belt Replace</t>
        </is>
      </c>
      <c r="B50" s="408" t="n"/>
      <c r="C50" s="417" t="inlineStr">
        <is>
          <t>Every 1500 hrs</t>
        </is>
      </c>
      <c r="D50" s="417" t="n">
        <v>1500</v>
      </c>
      <c r="E50" s="417" t="inlineStr">
        <is>
          <t>05/20/2026</t>
        </is>
      </c>
      <c r="F50" s="417" t="n">
        <v>1500</v>
      </c>
      <c r="G50" s="417" t="inlineStr">
        <is>
          <t>05/20/2026</t>
        </is>
      </c>
      <c r="H50" s="411" t="inlineStr">
        <is>
          <t>OK</t>
        </is>
      </c>
      <c r="I50" s="419" t="n"/>
      <c r="J50" s="417" t="inlineStr">
        <is>
          <t>—</t>
        </is>
      </c>
      <c r="K50" s="412" t="inlineStr">
        <is>
          <t>Request authorized distributor</t>
        </is>
      </c>
      <c r="L50" s="408" t="n"/>
      <c r="M50" s="400" t="n">
        <v>85</v>
      </c>
      <c r="N50" s="399" t="n">
        <v>496.4</v>
      </c>
    </row>
    <row r="51" ht="15.75" customHeight="1" s="273">
      <c r="A51" s="409" t="inlineStr">
        <is>
          <t>Valve Clearance Check/Adjust</t>
        </is>
      </c>
      <c r="B51" s="354" t="n"/>
      <c r="C51" s="354" t="n"/>
      <c r="D51" s="354" t="n"/>
      <c r="E51" s="354" t="n"/>
      <c r="F51" s="354" t="n"/>
      <c r="G51" s="354" t="n"/>
      <c r="H51" s="354" t="n"/>
      <c r="I51" s="354" t="n"/>
      <c r="J51" s="354" t="n"/>
      <c r="K51" s="354" t="n"/>
      <c r="L51" s="354" t="n"/>
      <c r="M51" s="403" t="inlineStr">
        <is>
          <t>TBD</t>
        </is>
      </c>
      <c r="N51" s="403" t="inlineStr">
        <is>
          <t>TBD</t>
        </is>
      </c>
    </row>
    <row r="52" ht="27.75" customHeight="1" s="273">
      <c r="A52" s="412" t="inlineStr">
        <is>
          <t>Fuel Injector Check</t>
        </is>
      </c>
      <c r="B52" s="354" t="n"/>
      <c r="C52" s="417" t="inlineStr">
        <is>
          <t>Every 3000 hrs</t>
        </is>
      </c>
      <c r="D52" s="417" t="n">
        <v>3000</v>
      </c>
      <c r="E52" s="417" t="inlineStr">
        <is>
          <t>07/22/2026</t>
        </is>
      </c>
      <c r="F52" s="417" t="n">
        <v>3000</v>
      </c>
      <c r="G52" s="417" t="inlineStr">
        <is>
          <t>07/22/2026</t>
        </is>
      </c>
      <c r="H52" s="411" t="inlineStr">
        <is>
          <t>OK</t>
        </is>
      </c>
      <c r="I52" s="419" t="n"/>
      <c r="J52" s="417" t="inlineStr">
        <is>
          <t>—</t>
        </is>
      </c>
      <c r="K52" s="412" t="inlineStr">
        <is>
          <t>Request authorized distributor</t>
        </is>
      </c>
      <c r="L52" s="354" t="n"/>
      <c r="M52" s="403" t="inlineStr">
        <is>
          <t>TBD</t>
        </is>
      </c>
      <c r="N52" s="403" t="inlineStr">
        <is>
          <t>TBD</t>
        </is>
      </c>
    </row>
    <row r="53" ht="13.5" customHeight="1" s="273">
      <c r="A53" s="409" t="inlineStr">
        <is>
          <t>Insulation Test</t>
        </is>
      </c>
      <c r="B53" s="354" t="n"/>
      <c r="C53" s="415" t="inlineStr">
        <is>
          <t>Every 3000 hrs</t>
        </is>
      </c>
      <c r="D53" s="415" t="n">
        <v>3000</v>
      </c>
      <c r="E53" s="415" t="inlineStr">
        <is>
          <t>07/22/2026</t>
        </is>
      </c>
      <c r="F53" s="415" t="n">
        <v>3000</v>
      </c>
      <c r="G53" s="415" t="inlineStr">
        <is>
          <t>07/22/2026</t>
        </is>
      </c>
      <c r="H53" s="411" t="inlineStr">
        <is>
          <t>OK</t>
        </is>
      </c>
      <c r="I53" s="419" t="n"/>
      <c r="J53" s="415" t="inlineStr">
        <is>
          <t>—</t>
        </is>
      </c>
      <c r="K53" s="409" t="inlineStr">
        <is>
          <t>Request authorized distributor</t>
        </is>
      </c>
      <c r="L53" s="354" t="n"/>
      <c r="M53" s="403" t="inlineStr">
        <is>
          <t>TBD</t>
        </is>
      </c>
      <c r="N53" s="403" t="inlineStr">
        <is>
          <t>TBD</t>
        </is>
      </c>
    </row>
    <row r="54" ht="13.5" customHeight="1" s="273">
      <c r="A54" s="272" t="n"/>
      <c r="K54" s="272" t="n"/>
    </row>
    <row r="55" ht="13.5" customHeight="1" s="273">
      <c r="A55" s="421" t="inlineStr">
        <is>
          <t xml:space="preserve">  GEN-2 (P-102)  —  SCHEDULED MAINTENANCE</t>
        </is>
      </c>
      <c r="K55" s="272" t="n"/>
    </row>
    <row r="56" ht="13.5" customHeight="1" s="273">
      <c r="A56" s="358" t="inlineStr">
        <is>
          <t>Task</t>
        </is>
      </c>
      <c r="B56" s="355" t="n"/>
      <c r="C56" s="358" t="inlineStr">
        <is>
          <t>Interval</t>
        </is>
      </c>
      <c r="D56" s="358" t="inlineStr">
        <is>
          <t>First Due
(hrs)</t>
        </is>
      </c>
      <c r="E56" s="358" t="inlineStr">
        <is>
          <t>First Due
(date)</t>
        </is>
      </c>
      <c r="F56" s="358" t="inlineStr">
        <is>
          <t>Next Due
(hrs)</t>
        </is>
      </c>
      <c r="G56" s="358" t="inlineStr">
        <is>
          <t>Next Due
(date)</t>
        </is>
      </c>
      <c r="H56" s="358" t="inlineStr">
        <is>
          <t>Status</t>
        </is>
      </c>
      <c r="I56" s="358" t="inlineStr">
        <is>
          <t>Last Service
(enter date)</t>
        </is>
      </c>
      <c r="J56" s="358" t="inlineStr">
        <is>
          <t>Part No.</t>
        </is>
      </c>
      <c r="K56" s="358" t="inlineStr">
        <is>
          <t>Notes</t>
        </is>
      </c>
      <c r="L56" s="355" t="n"/>
      <c r="M56" s="360" t="inlineStr">
        <is>
          <t>Cost
/Event</t>
        </is>
      </c>
      <c r="N56" s="360" t="inlineStr">
        <is>
          <t>Est. Annual
Cost</t>
        </is>
      </c>
    </row>
    <row r="57" ht="13.5" customHeight="1" s="273">
      <c r="A57" s="409" t="inlineStr">
        <is>
          <t>Engine Oil Replace</t>
        </is>
      </c>
      <c r="B57" s="354" t="n"/>
      <c r="C57" s="415" t="inlineStr">
        <is>
          <t>Every 250 hrs</t>
        </is>
      </c>
      <c r="D57" s="415" t="n">
        <v>50</v>
      </c>
      <c r="E57" s="415" t="inlineStr">
        <is>
          <t>03/21/2026</t>
        </is>
      </c>
      <c r="F57" s="415" t="n">
        <v>250</v>
      </c>
      <c r="G57" s="415" t="inlineStr">
        <is>
          <t>03/29/2026</t>
        </is>
      </c>
      <c r="H57" s="411" t="inlineStr">
        <is>
          <t>OK</t>
        </is>
      </c>
      <c r="I57" s="411" t="inlineStr">
        <is>
          <t>03/12/2026</t>
        </is>
      </c>
      <c r="J57" s="415" t="inlineStr">
        <is>
          <t>—</t>
        </is>
      </c>
      <c r="K57" s="416" t="inlineStr">
        <is>
          <t>NAPA 75105 10W40 5QT × 4 · Inv#507572 · API CJ-4  |  2.7 gal total (incl. filter)</t>
        </is>
      </c>
      <c r="L57" s="354" t="n"/>
      <c r="M57" s="392" t="n">
        <v>38.14</v>
      </c>
      <c r="N57" s="394" t="n">
        <v>1336.4256</v>
      </c>
    </row>
    <row r="58" ht="13.5" customHeight="1" s="273">
      <c r="A58" s="412" t="inlineStr">
        <is>
          <t>Oil Filter Replace</t>
        </is>
      </c>
      <c r="B58" s="354" t="n"/>
      <c r="C58" s="417" t="inlineStr">
        <is>
          <t>Every 500 hrs</t>
        </is>
      </c>
      <c r="D58" s="417" t="n">
        <v>50</v>
      </c>
      <c r="E58" s="417" t="inlineStr">
        <is>
          <t>03/21/2026</t>
        </is>
      </c>
      <c r="F58" s="417" t="n">
        <v>500</v>
      </c>
      <c r="G58" s="417" t="inlineStr">
        <is>
          <t>04/08/2026</t>
        </is>
      </c>
      <c r="H58" s="411" t="inlineStr">
        <is>
          <t>OK</t>
        </is>
      </c>
      <c r="I58" s="411" t="inlineStr">
        <is>
          <t>03/12/2026</t>
        </is>
      </c>
      <c r="J58" s="417" t="inlineStr">
        <is>
          <t>8944567412</t>
        </is>
      </c>
      <c r="K58" s="418" t="inlineStr">
        <is>
          <t>NAPA 1334 Gold Oil Filter × 4 · Inv#507572 · (Isuzu 8944567412 cross-ref)</t>
        </is>
      </c>
      <c r="L58" s="354" t="n"/>
      <c r="M58" s="392" t="n">
        <v>9.09</v>
      </c>
      <c r="N58" s="394" t="n">
        <v>159.2568</v>
      </c>
    </row>
    <row r="59" ht="13.5" customHeight="1" s="273">
      <c r="A59" s="409" t="inlineStr">
        <is>
          <t>Air Filter Clean</t>
        </is>
      </c>
      <c r="B59" s="354" t="n"/>
      <c r="C59" s="415" t="inlineStr">
        <is>
          <t>Every 250 hrs</t>
        </is>
      </c>
      <c r="D59" s="415" t="n">
        <v>250</v>
      </c>
      <c r="E59" s="415" t="inlineStr">
        <is>
          <t>03/29/2026</t>
        </is>
      </c>
      <c r="F59" s="415" t="n">
        <v>250</v>
      </c>
      <c r="G59" s="415" t="inlineStr">
        <is>
          <t>03/29/2026</t>
        </is>
      </c>
      <c r="H59" s="411" t="inlineStr">
        <is>
          <t>OK</t>
        </is>
      </c>
      <c r="I59" s="419" t="n"/>
      <c r="J59" s="415" t="inlineStr">
        <is>
          <t>P822768</t>
        </is>
      </c>
      <c r="K59" s="409" t="inlineStr">
        <is>
          <t>Blow compressed air from inside out</t>
        </is>
      </c>
      <c r="L59" s="354" t="n"/>
      <c r="M59" s="398" t="inlineStr">
        <is>
          <t>—</t>
        </is>
      </c>
      <c r="N59" s="398" t="inlineStr">
        <is>
          <t>—</t>
        </is>
      </c>
    </row>
    <row r="60" ht="13.5" customHeight="1" s="273">
      <c r="A60" s="412" t="inlineStr">
        <is>
          <t>Air Filter Replace</t>
        </is>
      </c>
      <c r="B60" s="354" t="n"/>
      <c r="C60" s="417" t="inlineStr">
        <is>
          <t>Every 500 hrs</t>
        </is>
      </c>
      <c r="D60" s="417" t="n">
        <v>500</v>
      </c>
      <c r="E60" s="417" t="inlineStr">
        <is>
          <t>04/08/2026</t>
        </is>
      </c>
      <c r="F60" s="417" t="n">
        <v>500</v>
      </c>
      <c r="G60" s="417" t="inlineStr">
        <is>
          <t>04/08/2026</t>
        </is>
      </c>
      <c r="H60" s="411" t="inlineStr">
        <is>
          <t>OK</t>
        </is>
      </c>
      <c r="I60" s="411" t="inlineStr">
        <is>
          <t>03/12/2026</t>
        </is>
      </c>
      <c r="J60" s="417" t="inlineStr">
        <is>
          <t>P822768</t>
        </is>
      </c>
      <c r="K60" s="418" t="inlineStr">
        <is>
          <t>Donaldson P822768 × 4 · Inv#507572 · Replace if carbon/oil fouled; earlier if dusty</t>
        </is>
      </c>
      <c r="L60" s="354" t="n"/>
      <c r="M60" s="392" t="n">
        <v>55.12</v>
      </c>
      <c r="N60" s="394" t="n">
        <v>965.7024</v>
      </c>
    </row>
    <row r="61" ht="13.5" customHeight="1" s="273">
      <c r="A61" s="409" t="inlineStr">
        <is>
          <t>Fuel Filter Replace (Main)</t>
        </is>
      </c>
      <c r="B61" s="354" t="n"/>
      <c r="C61" s="415" t="inlineStr">
        <is>
          <t>Every 500 hrs</t>
        </is>
      </c>
      <c r="D61" s="415" t="n">
        <v>500</v>
      </c>
      <c r="E61" s="415" t="inlineStr">
        <is>
          <t>04/08/2026</t>
        </is>
      </c>
      <c r="F61" s="415" t="n">
        <v>500</v>
      </c>
      <c r="G61" s="415" t="inlineStr">
        <is>
          <t>04/08/2026</t>
        </is>
      </c>
      <c r="H61" s="411" t="inlineStr">
        <is>
          <t>OK</t>
        </is>
      </c>
      <c r="I61" s="420" t="inlineStr">
        <is>
          <t>PENDING
(NAPA)</t>
        </is>
      </c>
      <c r="J61" s="415" t="inlineStr">
        <is>
          <t>8982402800</t>
        </is>
      </c>
      <c r="K61" s="409" t="inlineStr">
        <is>
          <t>Includes O-ring  |  Bleed air after replacement</t>
        </is>
      </c>
      <c r="L61" s="354" t="n"/>
      <c r="M61" s="400" t="n">
        <v>45</v>
      </c>
      <c r="N61" s="399" t="n">
        <v>788.4</v>
      </c>
    </row>
    <row r="62" ht="13.5" customHeight="1" s="273">
      <c r="A62" s="412" t="inlineStr">
        <is>
          <t>Fuel Filter Replace (Pre)</t>
        </is>
      </c>
      <c r="B62" s="354" t="n"/>
      <c r="C62" s="417" t="inlineStr">
        <is>
          <t>Every 500 hrs</t>
        </is>
      </c>
      <c r="D62" s="417" t="n">
        <v>500</v>
      </c>
      <c r="E62" s="417" t="inlineStr">
        <is>
          <t>04/08/2026</t>
        </is>
      </c>
      <c r="F62" s="417" t="n">
        <v>500</v>
      </c>
      <c r="G62" s="417" t="inlineStr">
        <is>
          <t>04/08/2026</t>
        </is>
      </c>
      <c r="H62" s="411" t="inlineStr">
        <is>
          <t>OK</t>
        </is>
      </c>
      <c r="I62" s="420" t="inlineStr">
        <is>
          <t>PENDING
(NAPA)</t>
        </is>
      </c>
      <c r="J62" s="417" t="inlineStr">
        <is>
          <t>8982402790</t>
        </is>
      </c>
      <c r="K62" s="412" t="inlineStr">
        <is>
          <t>Includes O-ring  |  Bleed air after replacement</t>
        </is>
      </c>
      <c r="L62" s="354" t="n"/>
      <c r="M62" s="400" t="n">
        <v>35</v>
      </c>
      <c r="N62" s="399" t="n">
        <v>613.2</v>
      </c>
    </row>
    <row r="63" ht="13.5" customHeight="1" s="273">
      <c r="A63" s="409" t="inlineStr">
        <is>
          <t>EM Pump Filter Clean/Replace</t>
        </is>
      </c>
      <c r="B63" s="354" t="n"/>
      <c r="C63" s="415" t="inlineStr">
        <is>
          <t>Every 500 hrs</t>
        </is>
      </c>
      <c r="D63" s="415" t="n">
        <v>500</v>
      </c>
      <c r="E63" s="415" t="inlineStr">
        <is>
          <t>04/08/2026</t>
        </is>
      </c>
      <c r="F63" s="415" t="n">
        <v>500</v>
      </c>
      <c r="G63" s="415" t="inlineStr">
        <is>
          <t>04/08/2026</t>
        </is>
      </c>
      <c r="H63" s="411" t="inlineStr">
        <is>
          <t>OK</t>
        </is>
      </c>
      <c r="I63" s="419" t="n"/>
      <c r="J63" s="415" t="inlineStr">
        <is>
          <t>8980714010</t>
        </is>
      </c>
      <c r="K63" s="409" t="inlineStr">
        <is>
          <t>Counter-clockwise to remove cover</t>
        </is>
      </c>
      <c r="L63" s="354" t="n"/>
      <c r="M63" s="400" t="n">
        <v>8</v>
      </c>
      <c r="N63" s="399" t="n">
        <v>140.16</v>
      </c>
    </row>
    <row r="64" ht="13.5" customHeight="1" s="273">
      <c r="A64" s="412" t="inlineStr">
        <is>
          <t>Exhaust Carbon Purge</t>
        </is>
      </c>
      <c r="B64" s="354" t="n"/>
      <c r="C64" s="417" t="inlineStr">
        <is>
          <t>Every 250 hrs</t>
        </is>
      </c>
      <c r="D64" s="417" t="n">
        <v>250</v>
      </c>
      <c r="E64" s="417" t="inlineStr">
        <is>
          <t>03/29/2026</t>
        </is>
      </c>
      <c r="F64" s="417" t="n">
        <v>250</v>
      </c>
      <c r="G64" s="417" t="inlineStr">
        <is>
          <t>03/29/2026</t>
        </is>
      </c>
      <c r="H64" s="411" t="inlineStr">
        <is>
          <t>OK</t>
        </is>
      </c>
      <c r="I64" s="419" t="n"/>
      <c r="J64" s="417" t="inlineStr">
        <is>
          <t>—</t>
        </is>
      </c>
      <c r="K64" s="412" t="inlineStr">
        <is>
          <t>Run &gt;70% rated output for 30 min until exhaust clears</t>
        </is>
      </c>
      <c r="L64" s="354" t="n"/>
      <c r="M64" s="402" t="inlineStr">
        <is>
          <t>—</t>
        </is>
      </c>
      <c r="N64" s="402" t="inlineStr">
        <is>
          <t>—</t>
        </is>
      </c>
    </row>
    <row r="65" ht="13.5" customHeight="1" s="273">
      <c r="A65" s="409" t="inlineStr">
        <is>
          <t>Fuel Tank Drain Water</t>
        </is>
      </c>
      <c r="B65" s="354" t="n"/>
      <c r="C65" s="415" t="inlineStr">
        <is>
          <t>Every 250 hrs</t>
        </is>
      </c>
      <c r="D65" s="415" t="n">
        <v>250</v>
      </c>
      <c r="E65" s="415" t="inlineStr">
        <is>
          <t>03/29/2026</t>
        </is>
      </c>
      <c r="F65" s="415" t="n">
        <v>250</v>
      </c>
      <c r="G65" s="415" t="inlineStr">
        <is>
          <t>03/29/2026</t>
        </is>
      </c>
      <c r="H65" s="411" t="inlineStr">
        <is>
          <t>OK</t>
        </is>
      </c>
      <c r="I65" s="419" t="n"/>
      <c r="J65" s="415" t="inlineStr">
        <is>
          <t>V106-000110</t>
        </is>
      </c>
      <c r="K65" s="409" t="inlineStr">
        <is>
          <t>Replace drain plug packing each time</t>
        </is>
      </c>
      <c r="L65" s="354" t="n"/>
      <c r="M65" s="400" t="n">
        <v>2</v>
      </c>
      <c r="N65" s="399" t="n">
        <v>70.08</v>
      </c>
    </row>
    <row r="66" ht="13.5" customHeight="1" s="273">
      <c r="A66" s="412" t="inlineStr">
        <is>
          <t>Spill Containment Clean</t>
        </is>
      </c>
      <c r="B66" s="354" t="n"/>
      <c r="C66" s="417" t="inlineStr">
        <is>
          <t>Every 500 hrs</t>
        </is>
      </c>
      <c r="D66" s="417" t="n">
        <v>500</v>
      </c>
      <c r="E66" s="417" t="inlineStr">
        <is>
          <t>04/08/2026</t>
        </is>
      </c>
      <c r="F66" s="417" t="n">
        <v>500</v>
      </c>
      <c r="G66" s="417" t="inlineStr">
        <is>
          <t>04/08/2026</t>
        </is>
      </c>
      <c r="H66" s="411" t="inlineStr">
        <is>
          <t>OK</t>
        </is>
      </c>
      <c r="I66" s="419" t="n"/>
      <c r="J66" s="417" t="inlineStr">
        <is>
          <t>—</t>
        </is>
      </c>
      <c r="K66" s="412" t="inlineStr">
        <is>
          <t>High-pressure clean; check for rust; leak test</t>
        </is>
      </c>
      <c r="L66" s="354" t="n"/>
      <c r="M66" s="402" t="inlineStr">
        <is>
          <t>—</t>
        </is>
      </c>
      <c r="N66" s="402" t="inlineStr">
        <is>
          <t>—</t>
        </is>
      </c>
    </row>
    <row r="67" ht="13.5" customHeight="1" s="273">
      <c r="A67" s="409" t="inlineStr">
        <is>
          <t>Coolant Replace / Radiator Flush</t>
        </is>
      </c>
      <c r="B67" s="354" t="n"/>
      <c r="C67" s="415" t="inlineStr">
        <is>
          <t>Every 1000 hrs</t>
        </is>
      </c>
      <c r="D67" s="415" t="n">
        <v>1000</v>
      </c>
      <c r="E67" s="415" t="inlineStr">
        <is>
          <t>04/29/2026</t>
        </is>
      </c>
      <c r="F67" s="415" t="n">
        <v>1000</v>
      </c>
      <c r="G67" s="415" t="inlineStr">
        <is>
          <t>04/29/2026</t>
        </is>
      </c>
      <c r="H67" s="411" t="inlineStr">
        <is>
          <t>OK</t>
        </is>
      </c>
      <c r="I67" s="411" t="inlineStr">
        <is>
          <t>03/09/2026</t>
        </is>
      </c>
      <c r="J67" s="415" t="inlineStr">
        <is>
          <t>—</t>
        </is>
      </c>
      <c r="K67" s="416" t="inlineStr">
        <is>
          <t>RTU EXT LIFE GAL × 4 · Inv#507048 · Purchased for upcoming service · GM SPEC 6277M  |  50:50 LLC  |  2.6 gal total</t>
        </is>
      </c>
      <c r="L67" s="354" t="n"/>
      <c r="M67" s="392" t="n">
        <v>26.86</v>
      </c>
      <c r="N67" s="394" t="n">
        <v>235.2936</v>
      </c>
    </row>
    <row r="68" ht="7.5" customHeight="1" s="273">
      <c r="A68" s="412" t="inlineStr">
        <is>
          <t>Fan Belt Replace</t>
        </is>
      </c>
      <c r="B68" s="408" t="n"/>
      <c r="C68" s="417" t="inlineStr">
        <is>
          <t>Every 1500 hrs</t>
        </is>
      </c>
      <c r="D68" s="417" t="n">
        <v>1500</v>
      </c>
      <c r="E68" s="417" t="inlineStr">
        <is>
          <t>05/20/2026</t>
        </is>
      </c>
      <c r="F68" s="417" t="n">
        <v>1500</v>
      </c>
      <c r="G68" s="417" t="inlineStr">
        <is>
          <t>05/20/2026</t>
        </is>
      </c>
      <c r="H68" s="411" t="inlineStr">
        <is>
          <t>OK</t>
        </is>
      </c>
      <c r="I68" s="419" t="n"/>
      <c r="J68" s="417" t="inlineStr">
        <is>
          <t>—</t>
        </is>
      </c>
      <c r="K68" s="412" t="inlineStr">
        <is>
          <t>Request authorized distributor</t>
        </is>
      </c>
      <c r="L68" s="408" t="n"/>
      <c r="M68" s="400" t="n">
        <v>85</v>
      </c>
      <c r="N68" s="399" t="n">
        <v>496.4</v>
      </c>
    </row>
    <row r="69" ht="15.75" customHeight="1" s="273">
      <c r="A69" s="409" t="inlineStr">
        <is>
          <t>Valve Clearance Check/Adjust</t>
        </is>
      </c>
      <c r="B69" s="354" t="n"/>
      <c r="C69" s="354" t="n"/>
      <c r="D69" s="354" t="n"/>
      <c r="E69" s="354" t="n"/>
      <c r="F69" s="354" t="n"/>
      <c r="G69" s="354" t="n"/>
      <c r="H69" s="354" t="n"/>
      <c r="I69" s="354" t="n"/>
      <c r="J69" s="354" t="n"/>
      <c r="K69" s="354" t="n"/>
      <c r="L69" s="354" t="n"/>
      <c r="M69" s="403" t="inlineStr">
        <is>
          <t>TBD</t>
        </is>
      </c>
      <c r="N69" s="403" t="inlineStr">
        <is>
          <t>TBD</t>
        </is>
      </c>
    </row>
    <row r="70" ht="15.75" customHeight="1" s="273">
      <c r="A70" s="412" t="inlineStr">
        <is>
          <t>Fuel Injector Check</t>
        </is>
      </c>
      <c r="B70" s="354" t="n"/>
      <c r="C70" s="417" t="inlineStr">
        <is>
          <t>Every 3000 hrs</t>
        </is>
      </c>
      <c r="D70" s="354" t="n"/>
      <c r="E70" s="354" t="n"/>
      <c r="F70" s="355" t="n"/>
      <c r="G70" s="417" t="inlineStr">
        <is>
          <t>07/22/2026</t>
        </is>
      </c>
      <c r="H70" s="355" t="n"/>
      <c r="I70" s="419" t="n"/>
      <c r="J70" s="417" t="inlineStr">
        <is>
          <t>—</t>
        </is>
      </c>
      <c r="K70" s="412" t="inlineStr">
        <is>
          <t>Request authorized distributor</t>
        </is>
      </c>
      <c r="L70" s="354" t="n"/>
      <c r="M70" s="403" t="inlineStr">
        <is>
          <t>TBD</t>
        </is>
      </c>
      <c r="N70" s="403" t="inlineStr">
        <is>
          <t>TBD</t>
        </is>
      </c>
    </row>
    <row r="71" ht="13.5" customHeight="1" s="273">
      <c r="A71" s="409" t="inlineStr">
        <is>
          <t>Insulation Test</t>
        </is>
      </c>
      <c r="B71" s="354" t="n"/>
      <c r="C71" s="415" t="inlineStr">
        <is>
          <t>Every 3000 hrs</t>
        </is>
      </c>
      <c r="D71" s="354" t="n"/>
      <c r="E71" s="354" t="n"/>
      <c r="F71" s="355" t="n"/>
      <c r="G71" s="415" t="inlineStr">
        <is>
          <t>07/22/2026</t>
        </is>
      </c>
      <c r="H71" s="355" t="n"/>
      <c r="I71" s="419" t="n"/>
      <c r="J71" s="415" t="inlineStr">
        <is>
          <t>—</t>
        </is>
      </c>
      <c r="K71" s="409" t="inlineStr">
        <is>
          <t>Request authorized distributor</t>
        </is>
      </c>
      <c r="L71" s="354" t="n"/>
      <c r="M71" s="403" t="inlineStr">
        <is>
          <t>TBD</t>
        </is>
      </c>
      <c r="N71" s="403" t="inlineStr">
        <is>
          <t>TBD</t>
        </is>
      </c>
    </row>
    <row r="72" ht="13.5" customHeight="1" s="273">
      <c r="A72" s="272" t="n"/>
      <c r="C72" s="272" t="n"/>
      <c r="G72" s="272" t="n"/>
      <c r="K72" s="272" t="n"/>
    </row>
    <row r="73" ht="13.5" customHeight="1" s="273">
      <c r="A73" s="422" t="inlineStr">
        <is>
          <t xml:space="preserve">  GEN-3 (P-103)  —  SCHEDULED MAINTENANCE</t>
        </is>
      </c>
      <c r="C73" s="272" t="n"/>
      <c r="G73" s="272" t="n"/>
      <c r="K73" s="272" t="n"/>
    </row>
    <row r="74" ht="13.5" customHeight="1" s="273">
      <c r="A74" s="359" t="inlineStr">
        <is>
          <t>Task</t>
        </is>
      </c>
      <c r="B74" s="355" t="n"/>
      <c r="C74" s="359" t="inlineStr">
        <is>
          <t>Interval</t>
        </is>
      </c>
      <c r="D74" s="354" t="n"/>
      <c r="E74" s="354" t="n"/>
      <c r="F74" s="355" t="n"/>
      <c r="G74" s="359" t="inlineStr">
        <is>
          <t>Next Due
(date)</t>
        </is>
      </c>
      <c r="H74" s="355" t="n"/>
      <c r="I74" s="359" t="inlineStr">
        <is>
          <t>Last Service
(enter date)</t>
        </is>
      </c>
      <c r="J74" s="359" t="inlineStr">
        <is>
          <t>Part No.</t>
        </is>
      </c>
      <c r="K74" s="359" t="inlineStr">
        <is>
          <t>Notes</t>
        </is>
      </c>
      <c r="L74" s="355" t="n"/>
      <c r="M74" s="360" t="inlineStr">
        <is>
          <t>Cost
/Event</t>
        </is>
      </c>
      <c r="N74" s="360" t="inlineStr">
        <is>
          <t>Est. Annual
Cost</t>
        </is>
      </c>
    </row>
    <row r="75" ht="13.5" customHeight="1" s="273">
      <c r="A75" s="409" t="inlineStr">
        <is>
          <t>Engine Oil Replace</t>
        </is>
      </c>
      <c r="B75" s="354" t="n"/>
      <c r="C75" s="415" t="inlineStr">
        <is>
          <t>Every 250 hrs</t>
        </is>
      </c>
      <c r="D75" s="354" t="n"/>
      <c r="E75" s="354" t="n"/>
      <c r="F75" s="355" t="n"/>
      <c r="G75" s="415" t="inlineStr">
        <is>
          <t>03/29/2026</t>
        </is>
      </c>
      <c r="H75" s="355" t="n"/>
      <c r="I75" s="411" t="inlineStr">
        <is>
          <t>03/12/2026</t>
        </is>
      </c>
      <c r="J75" s="415" t="inlineStr">
        <is>
          <t>—</t>
        </is>
      </c>
      <c r="K75" s="416" t="inlineStr">
        <is>
          <t>NAPA 75105 10W40 5QT × 4 · Inv#507572 · API CJ-4  |  2.7 gal total (incl. filter)</t>
        </is>
      </c>
      <c r="L75" s="354" t="n"/>
      <c r="M75" s="392" t="n">
        <v>38.14</v>
      </c>
      <c r="N75" s="394" t="n">
        <v>1336.4256</v>
      </c>
    </row>
    <row r="76" ht="13.5" customHeight="1" s="273">
      <c r="A76" s="412" t="inlineStr">
        <is>
          <t>Oil Filter Replace</t>
        </is>
      </c>
      <c r="B76" s="354" t="n"/>
      <c r="C76" s="417" t="inlineStr">
        <is>
          <t>Every 500 hrs</t>
        </is>
      </c>
      <c r="D76" s="354" t="n"/>
      <c r="E76" s="354" t="n"/>
      <c r="F76" s="355" t="n"/>
      <c r="G76" s="417" t="inlineStr">
        <is>
          <t>04/08/2026</t>
        </is>
      </c>
      <c r="H76" s="355" t="n"/>
      <c r="I76" s="411" t="inlineStr">
        <is>
          <t>03/12/2026</t>
        </is>
      </c>
      <c r="J76" s="417" t="inlineStr">
        <is>
          <t>8944567412</t>
        </is>
      </c>
      <c r="K76" s="418" t="inlineStr">
        <is>
          <t>NAPA 1334 Gold Oil Filter × 4 · Inv#507572 · (Isuzu 8944567412 cross-ref)</t>
        </is>
      </c>
      <c r="L76" s="354" t="n"/>
      <c r="M76" s="392" t="n">
        <v>9.09</v>
      </c>
      <c r="N76" s="394" t="n">
        <v>159.2568</v>
      </c>
    </row>
    <row r="77" ht="13.5" customHeight="1" s="273">
      <c r="A77" s="409" t="inlineStr">
        <is>
          <t>Air Filter Clean</t>
        </is>
      </c>
      <c r="B77" s="354" t="n"/>
      <c r="C77" s="415" t="inlineStr">
        <is>
          <t>Every 250 hrs</t>
        </is>
      </c>
      <c r="D77" s="354" t="n"/>
      <c r="E77" s="354" t="n"/>
      <c r="F77" s="355" t="n"/>
      <c r="G77" s="415" t="inlineStr">
        <is>
          <t>03/29/2026</t>
        </is>
      </c>
      <c r="H77" s="355" t="n"/>
      <c r="I77" s="419" t="n"/>
      <c r="J77" s="415" t="inlineStr">
        <is>
          <t>P822768</t>
        </is>
      </c>
      <c r="K77" s="409" t="inlineStr">
        <is>
          <t>Blow compressed air from inside out</t>
        </is>
      </c>
      <c r="L77" s="354" t="n"/>
      <c r="M77" s="398" t="inlineStr">
        <is>
          <t>—</t>
        </is>
      </c>
      <c r="N77" s="398" t="inlineStr">
        <is>
          <t>—</t>
        </is>
      </c>
    </row>
    <row r="78" ht="13.5" customHeight="1" s="273">
      <c r="A78" s="412" t="inlineStr">
        <is>
          <t>Air Filter Replace</t>
        </is>
      </c>
      <c r="B78" s="354" t="n"/>
      <c r="C78" s="417" t="inlineStr">
        <is>
          <t>Every 500 hrs</t>
        </is>
      </c>
      <c r="D78" s="354" t="n"/>
      <c r="E78" s="354" t="n"/>
      <c r="F78" s="355" t="n"/>
      <c r="G78" s="417" t="inlineStr">
        <is>
          <t>04/08/2026</t>
        </is>
      </c>
      <c r="H78" s="355" t="n"/>
      <c r="I78" s="411" t="inlineStr">
        <is>
          <t>03/12/2026</t>
        </is>
      </c>
      <c r="J78" s="417" t="inlineStr">
        <is>
          <t>P822768</t>
        </is>
      </c>
      <c r="K78" s="418" t="inlineStr">
        <is>
          <t>Donaldson P822768 × 4 · Inv#507572 · Replace if carbon/oil fouled; earlier if dusty</t>
        </is>
      </c>
      <c r="L78" s="354" t="n"/>
      <c r="M78" s="392" t="n">
        <v>55.12</v>
      </c>
      <c r="N78" s="394" t="n">
        <v>965.7024</v>
      </c>
    </row>
    <row r="79" ht="13.5" customHeight="1" s="273">
      <c r="A79" s="409" t="inlineStr">
        <is>
          <t>Fuel Filter Replace (Main)</t>
        </is>
      </c>
      <c r="B79" s="354" t="n"/>
      <c r="C79" s="415" t="inlineStr">
        <is>
          <t>Every 500 hrs</t>
        </is>
      </c>
      <c r="D79" s="354" t="n"/>
      <c r="E79" s="354" t="n"/>
      <c r="F79" s="355" t="n"/>
      <c r="G79" s="415" t="inlineStr">
        <is>
          <t>04/08/2026</t>
        </is>
      </c>
      <c r="H79" s="355" t="n"/>
      <c r="I79" s="420" t="inlineStr">
        <is>
          <t>PENDING
(NAPA)</t>
        </is>
      </c>
      <c r="J79" s="415" t="inlineStr">
        <is>
          <t>8982402800</t>
        </is>
      </c>
      <c r="K79" s="409" t="inlineStr">
        <is>
          <t>Includes O-ring  |  Bleed air after replacement</t>
        </is>
      </c>
      <c r="L79" s="354" t="n"/>
      <c r="M79" s="400" t="n">
        <v>45</v>
      </c>
      <c r="N79" s="399" t="n">
        <v>788.4</v>
      </c>
    </row>
    <row r="80" ht="13.5" customHeight="1" s="273">
      <c r="A80" s="412" t="inlineStr">
        <is>
          <t>Fuel Filter Replace (Pre)</t>
        </is>
      </c>
      <c r="B80" s="354" t="n"/>
      <c r="C80" s="417" t="inlineStr">
        <is>
          <t>Every 500 hrs</t>
        </is>
      </c>
      <c r="D80" s="354" t="n"/>
      <c r="E80" s="354" t="n"/>
      <c r="F80" s="355" t="n"/>
      <c r="G80" s="417" t="inlineStr">
        <is>
          <t>04/08/2026</t>
        </is>
      </c>
      <c r="H80" s="355" t="n"/>
      <c r="I80" s="420" t="inlineStr">
        <is>
          <t>PENDING
(NAPA)</t>
        </is>
      </c>
      <c r="J80" s="417" t="inlineStr">
        <is>
          <t>8982402790</t>
        </is>
      </c>
      <c r="K80" s="412" t="inlineStr">
        <is>
          <t>Includes O-ring  |  Bleed air after replacement</t>
        </is>
      </c>
      <c r="L80" s="354" t="n"/>
      <c r="M80" s="400" t="n">
        <v>35</v>
      </c>
      <c r="N80" s="399" t="n">
        <v>613.2</v>
      </c>
    </row>
    <row r="81" ht="13.5" customHeight="1" s="273">
      <c r="A81" s="409" t="inlineStr">
        <is>
          <t>EM Pump Filter Clean/Replace</t>
        </is>
      </c>
      <c r="B81" s="354" t="n"/>
      <c r="C81" s="415" t="inlineStr">
        <is>
          <t>Every 500 hrs</t>
        </is>
      </c>
      <c r="D81" s="354" t="n"/>
      <c r="E81" s="354" t="n"/>
      <c r="F81" s="355" t="n"/>
      <c r="G81" s="415" t="inlineStr">
        <is>
          <t>04/08/2026</t>
        </is>
      </c>
      <c r="H81" s="355" t="n"/>
      <c r="I81" s="419" t="n"/>
      <c r="J81" s="415" t="inlineStr">
        <is>
          <t>8980714010</t>
        </is>
      </c>
      <c r="K81" s="409" t="inlineStr">
        <is>
          <t>Counter-clockwise to remove cover</t>
        </is>
      </c>
      <c r="L81" s="354" t="n"/>
      <c r="M81" s="400" t="n">
        <v>8</v>
      </c>
      <c r="N81" s="399" t="n">
        <v>140.16</v>
      </c>
    </row>
    <row r="82" ht="13.5" customHeight="1" s="273">
      <c r="A82" s="412" t="inlineStr">
        <is>
          <t>Exhaust Carbon Purge</t>
        </is>
      </c>
      <c r="B82" s="354" t="n"/>
      <c r="C82" s="417" t="inlineStr">
        <is>
          <t>Every 250 hrs</t>
        </is>
      </c>
      <c r="D82" s="354" t="n"/>
      <c r="E82" s="354" t="n"/>
      <c r="F82" s="355" t="n"/>
      <c r="G82" s="417" t="inlineStr">
        <is>
          <t>03/29/2026</t>
        </is>
      </c>
      <c r="H82" s="355" t="n"/>
      <c r="I82" s="419" t="n"/>
      <c r="J82" s="417" t="inlineStr">
        <is>
          <t>—</t>
        </is>
      </c>
      <c r="K82" s="412" t="inlineStr">
        <is>
          <t>Run &gt;70% rated output for 30 min until exhaust clears</t>
        </is>
      </c>
      <c r="L82" s="354" t="n"/>
      <c r="M82" s="402" t="inlineStr">
        <is>
          <t>—</t>
        </is>
      </c>
      <c r="N82" s="402" t="inlineStr">
        <is>
          <t>—</t>
        </is>
      </c>
    </row>
    <row r="83" ht="13.5" customHeight="1" s="273">
      <c r="A83" s="409" t="inlineStr">
        <is>
          <t>Fuel Tank Drain Water</t>
        </is>
      </c>
      <c r="B83" s="354" t="n"/>
      <c r="C83" s="415" t="inlineStr">
        <is>
          <t>Every 250 hrs</t>
        </is>
      </c>
      <c r="D83" s="354" t="n"/>
      <c r="E83" s="354" t="n"/>
      <c r="F83" s="355" t="n"/>
      <c r="G83" s="415" t="inlineStr">
        <is>
          <t>03/29/2026</t>
        </is>
      </c>
      <c r="H83" s="355" t="n"/>
      <c r="I83" s="419" t="n"/>
      <c r="J83" s="415" t="inlineStr">
        <is>
          <t>V106-000110</t>
        </is>
      </c>
      <c r="K83" s="409" t="inlineStr">
        <is>
          <t>Replace drain plug packing each time</t>
        </is>
      </c>
      <c r="L83" s="354" t="n"/>
      <c r="M83" s="400" t="n">
        <v>2</v>
      </c>
      <c r="N83" s="399" t="n">
        <v>70.08</v>
      </c>
    </row>
    <row r="84" ht="13.5" customHeight="1" s="273">
      <c r="A84" s="412" t="inlineStr">
        <is>
          <t>Spill Containment Clean</t>
        </is>
      </c>
      <c r="B84" s="354" t="n"/>
      <c r="C84" s="417" t="inlineStr">
        <is>
          <t>Every 500 hrs</t>
        </is>
      </c>
      <c r="D84" s="354" t="n"/>
      <c r="E84" s="354" t="n"/>
      <c r="F84" s="355" t="n"/>
      <c r="G84" s="417" t="inlineStr">
        <is>
          <t>04/08/2026</t>
        </is>
      </c>
      <c r="H84" s="355" t="n"/>
      <c r="I84" s="419" t="n"/>
      <c r="J84" s="417" t="inlineStr">
        <is>
          <t>—</t>
        </is>
      </c>
      <c r="K84" s="412" t="inlineStr">
        <is>
          <t>High-pressure clean; check for rust; leak test</t>
        </is>
      </c>
      <c r="L84" s="354" t="n"/>
      <c r="M84" s="402" t="inlineStr">
        <is>
          <t>—</t>
        </is>
      </c>
      <c r="N84" s="402" t="inlineStr">
        <is>
          <t>—</t>
        </is>
      </c>
    </row>
    <row r="85" ht="13.5" customHeight="1" s="273">
      <c r="A85" s="409" t="inlineStr">
        <is>
          <t>Coolant Replace / Radiator Flush</t>
        </is>
      </c>
      <c r="B85" s="354" t="n"/>
      <c r="C85" s="415" t="inlineStr">
        <is>
          <t>Every 1000 hrs</t>
        </is>
      </c>
      <c r="D85" s="354" t="n"/>
      <c r="E85" s="354" t="n"/>
      <c r="F85" s="355" t="n"/>
      <c r="G85" s="415" t="inlineStr">
        <is>
          <t>04/29/2026</t>
        </is>
      </c>
      <c r="H85" s="355" t="n"/>
      <c r="I85" s="411" t="inlineStr">
        <is>
          <t>03/09/2026</t>
        </is>
      </c>
      <c r="J85" s="415" t="inlineStr">
        <is>
          <t>—</t>
        </is>
      </c>
      <c r="K85" s="416" t="inlineStr">
        <is>
          <t>RTU EXT LIFE GAL × 4 · Inv#507048 · Purchased for upcoming service · GM SPEC 6277M  |  50:50 LLC  |  2.6 gal total</t>
        </is>
      </c>
      <c r="L85" s="354" t="n"/>
      <c r="M85" s="392" t="n">
        <v>26.86</v>
      </c>
      <c r="N85" s="394" t="n">
        <v>235.2936</v>
      </c>
    </row>
    <row r="86" ht="13.5" customHeight="1" s="273">
      <c r="A86" s="412" t="inlineStr">
        <is>
          <t>Fan Belt Replace</t>
        </is>
      </c>
      <c r="B86" s="354" t="n"/>
      <c r="C86" s="417" t="inlineStr">
        <is>
          <t>Every 1500 hrs</t>
        </is>
      </c>
      <c r="D86" s="354" t="n"/>
      <c r="E86" s="354" t="n"/>
      <c r="F86" s="355" t="n"/>
      <c r="G86" s="417" t="inlineStr">
        <is>
          <t>05/20/2026</t>
        </is>
      </c>
      <c r="H86" s="355" t="n"/>
      <c r="I86" s="419" t="n"/>
      <c r="J86" s="417" t="inlineStr">
        <is>
          <t>—</t>
        </is>
      </c>
      <c r="K86" s="412" t="inlineStr">
        <is>
          <t>Request authorized distributor</t>
        </is>
      </c>
      <c r="L86" s="354" t="n"/>
      <c r="M86" s="400" t="n">
        <v>85</v>
      </c>
      <c r="N86" s="399" t="n">
        <v>496.4</v>
      </c>
    </row>
    <row r="87" ht="13.5" customHeight="1" s="273">
      <c r="A87" s="409" t="inlineStr">
        <is>
          <t>Valve Clearance Check/Adjust</t>
        </is>
      </c>
      <c r="B87" s="354" t="n"/>
      <c r="C87" s="415" t="inlineStr">
        <is>
          <t>Every 1500 hrs</t>
        </is>
      </c>
      <c r="D87" s="354" t="n"/>
      <c r="E87" s="354" t="n"/>
      <c r="F87" s="355" t="n"/>
      <c r="G87" s="415" t="inlineStr">
        <is>
          <t>05/20/2026</t>
        </is>
      </c>
      <c r="H87" s="355" t="n"/>
      <c r="I87" s="419" t="n"/>
      <c r="J87" s="415" t="inlineStr">
        <is>
          <t>—</t>
        </is>
      </c>
      <c r="K87" s="409" t="inlineStr">
        <is>
          <t>Request authorized distributor</t>
        </is>
      </c>
      <c r="L87" s="354" t="n"/>
      <c r="M87" s="403" t="inlineStr">
        <is>
          <t>TBD</t>
        </is>
      </c>
      <c r="N87" s="403" t="inlineStr">
        <is>
          <t>TBD</t>
        </is>
      </c>
    </row>
    <row r="88" ht="13.5" customHeight="1" s="273">
      <c r="A88" s="412" t="inlineStr">
        <is>
          <t>Fuel Injector Check</t>
        </is>
      </c>
      <c r="B88" s="354" t="n"/>
      <c r="C88" s="417" t="inlineStr">
        <is>
          <t>Every 3000 hrs</t>
        </is>
      </c>
      <c r="D88" s="354" t="n"/>
      <c r="E88" s="354" t="n"/>
      <c r="F88" s="355" t="n"/>
      <c r="G88" s="417" t="inlineStr">
        <is>
          <t>07/22/2026</t>
        </is>
      </c>
      <c r="H88" s="355" t="n"/>
      <c r="I88" s="419" t="n"/>
      <c r="J88" s="417" t="inlineStr">
        <is>
          <t>—</t>
        </is>
      </c>
      <c r="K88" s="412" t="inlineStr">
        <is>
          <t>Request authorized distributor</t>
        </is>
      </c>
      <c r="L88" s="354" t="n"/>
      <c r="M88" s="403" t="inlineStr">
        <is>
          <t>TBD</t>
        </is>
      </c>
      <c r="N88" s="403" t="inlineStr">
        <is>
          <t>TBD</t>
        </is>
      </c>
    </row>
    <row r="89" ht="13.5" customHeight="1" s="273">
      <c r="A89" s="409" t="inlineStr">
        <is>
          <t>Insulation Test</t>
        </is>
      </c>
      <c r="B89" s="354" t="n"/>
      <c r="C89" s="415" t="inlineStr">
        <is>
          <t>Every 3000 hrs</t>
        </is>
      </c>
      <c r="D89" s="354" t="n"/>
      <c r="E89" s="354" t="n"/>
      <c r="F89" s="355" t="n"/>
      <c r="G89" s="415" t="inlineStr">
        <is>
          <t>07/22/2026</t>
        </is>
      </c>
      <c r="H89" s="355" t="n"/>
      <c r="I89" s="419" t="n"/>
      <c r="J89" s="415" t="inlineStr">
        <is>
          <t>—</t>
        </is>
      </c>
      <c r="K89" s="409" t="inlineStr">
        <is>
          <t>Request authorized distributor</t>
        </is>
      </c>
      <c r="L89" s="354" t="n"/>
      <c r="M89" s="403" t="inlineStr">
        <is>
          <t>TBD</t>
        </is>
      </c>
      <c r="N89" s="403" t="inlineStr">
        <is>
          <t>TBD</t>
        </is>
      </c>
    </row>
    <row r="90" ht="13.5" customHeight="1" s="273">
      <c r="A90" s="272" t="n"/>
      <c r="C90" s="272" t="n"/>
      <c r="G90" s="272" t="n"/>
      <c r="K90" s="272" t="n"/>
    </row>
    <row r="91" ht="13.5" customHeight="1" s="273">
      <c r="A91" s="406" t="inlineStr">
        <is>
          <t xml:space="preserve">  MAINTENANCE SUMMARY  —  Next 90 Days</t>
        </is>
      </c>
      <c r="C91" s="272" t="n"/>
      <c r="G91" s="272" t="n"/>
      <c r="K91" s="272" t="n"/>
    </row>
    <row r="92" ht="13.5" customHeight="1" s="273">
      <c r="A92" s="360" t="inlineStr">
        <is>
          <t>Generator</t>
        </is>
      </c>
      <c r="B92" s="355" t="n"/>
      <c r="C92" s="360" t="inlineStr">
        <is>
          <t>Task</t>
        </is>
      </c>
      <c r="D92" s="354" t="n"/>
      <c r="E92" s="354" t="n"/>
      <c r="F92" s="355" t="n"/>
      <c r="G92" s="360" t="inlineStr">
        <is>
          <t>Due Date</t>
        </is>
      </c>
      <c r="H92" s="355" t="n"/>
      <c r="I92" s="360" t="inlineStr">
        <is>
          <t>Days Away</t>
        </is>
      </c>
      <c r="J92" s="360" t="inlineStr">
        <is>
          <t>Interval</t>
        </is>
      </c>
      <c r="K92" s="360" t="inlineStr">
        <is>
          <t>Part No.</t>
        </is>
      </c>
      <c r="L92" s="355" t="n"/>
    </row>
    <row r="93" ht="13.5" customHeight="1" s="273">
      <c r="A93" s="423" t="inlineStr">
        <is>
          <t>GEN-1 (P-101)</t>
        </is>
      </c>
      <c r="B93" s="354" t="n"/>
      <c r="C93" s="409" t="inlineStr">
        <is>
          <t>Engine Oil Replace</t>
        </is>
      </c>
      <c r="D93" s="354" t="n"/>
      <c r="E93" s="354" t="n"/>
      <c r="F93" s="354" t="n"/>
      <c r="G93" s="410" t="inlineStr">
        <is>
          <t>03/21/2026</t>
        </is>
      </c>
      <c r="H93" s="354" t="n"/>
      <c r="I93" s="424" t="inlineStr">
        <is>
          <t>2 days</t>
        </is>
      </c>
      <c r="J93" s="415" t="inlineStr">
        <is>
          <t>Every 250 hrs</t>
        </is>
      </c>
      <c r="K93" s="410" t="inlineStr">
        <is>
          <t>—</t>
        </is>
      </c>
      <c r="L93" s="354" t="n"/>
    </row>
    <row r="94" ht="13.5" customHeight="1" s="273">
      <c r="A94" s="425" t="inlineStr">
        <is>
          <t>GEN-1 (P-101)</t>
        </is>
      </c>
      <c r="B94" s="354" t="n"/>
      <c r="C94" s="412" t="inlineStr">
        <is>
          <t>Oil Filter Replace</t>
        </is>
      </c>
      <c r="D94" s="354" t="n"/>
      <c r="E94" s="354" t="n"/>
      <c r="F94" s="354" t="n"/>
      <c r="G94" s="413" t="inlineStr">
        <is>
          <t>03/21/2026</t>
        </is>
      </c>
      <c r="H94" s="354" t="n"/>
      <c r="I94" s="424" t="inlineStr">
        <is>
          <t>2 days</t>
        </is>
      </c>
      <c r="J94" s="417" t="inlineStr">
        <is>
          <t>Every 500 hrs</t>
        </is>
      </c>
      <c r="K94" s="413" t="inlineStr">
        <is>
          <t>8944567412</t>
        </is>
      </c>
      <c r="L94" s="354" t="n"/>
    </row>
    <row r="95" ht="13.5" customHeight="1" s="273">
      <c r="A95" s="423" t="inlineStr">
        <is>
          <t>GEN-2 (P-102)</t>
        </is>
      </c>
      <c r="B95" s="354" t="n"/>
      <c r="C95" s="409" t="inlineStr">
        <is>
          <t>Engine Oil Replace</t>
        </is>
      </c>
      <c r="D95" s="354" t="n"/>
      <c r="E95" s="354" t="n"/>
      <c r="F95" s="354" t="n"/>
      <c r="G95" s="410" t="inlineStr">
        <is>
          <t>03/21/2026</t>
        </is>
      </c>
      <c r="H95" s="354" t="n"/>
      <c r="I95" s="424" t="inlineStr">
        <is>
          <t>2 days</t>
        </is>
      </c>
      <c r="J95" s="415" t="inlineStr">
        <is>
          <t>Every 250 hrs</t>
        </is>
      </c>
      <c r="K95" s="410" t="inlineStr">
        <is>
          <t>—</t>
        </is>
      </c>
      <c r="L95" s="354" t="n"/>
    </row>
    <row r="96" ht="13.5" customHeight="1" s="273">
      <c r="A96" s="425" t="inlineStr">
        <is>
          <t>GEN-2 (P-102)</t>
        </is>
      </c>
      <c r="B96" s="354" t="n"/>
      <c r="C96" s="412" t="inlineStr">
        <is>
          <t>Oil Filter Replace</t>
        </is>
      </c>
      <c r="D96" s="354" t="n"/>
      <c r="E96" s="354" t="n"/>
      <c r="F96" s="354" t="n"/>
      <c r="G96" s="413" t="inlineStr">
        <is>
          <t>03/21/2026</t>
        </is>
      </c>
      <c r="H96" s="354" t="n"/>
      <c r="I96" s="424" t="inlineStr">
        <is>
          <t>2 days</t>
        </is>
      </c>
      <c r="J96" s="417" t="inlineStr">
        <is>
          <t>Every 500 hrs</t>
        </is>
      </c>
      <c r="K96" s="413" t="inlineStr">
        <is>
          <t>8944567412</t>
        </is>
      </c>
      <c r="L96" s="354" t="n"/>
    </row>
    <row r="97" ht="13.5" customHeight="1" s="273">
      <c r="A97" s="423" t="inlineStr">
        <is>
          <t>GEN-3 (P-103)</t>
        </is>
      </c>
      <c r="B97" s="354" t="n"/>
      <c r="C97" s="409" t="inlineStr">
        <is>
          <t>Engine Oil Replace</t>
        </is>
      </c>
      <c r="D97" s="354" t="n"/>
      <c r="E97" s="354" t="n"/>
      <c r="F97" s="354" t="n"/>
      <c r="G97" s="410" t="inlineStr">
        <is>
          <t>03/21/2026</t>
        </is>
      </c>
      <c r="H97" s="354" t="n"/>
      <c r="I97" s="424" t="inlineStr">
        <is>
          <t>2 days</t>
        </is>
      </c>
      <c r="J97" s="415" t="inlineStr">
        <is>
          <t>Every 250 hrs</t>
        </is>
      </c>
      <c r="K97" s="410" t="inlineStr">
        <is>
          <t>—</t>
        </is>
      </c>
      <c r="L97" s="354" t="n"/>
    </row>
    <row r="98" ht="13.5" customHeight="1" s="273">
      <c r="A98" s="425" t="inlineStr">
        <is>
          <t>GEN-3 (P-103)</t>
        </is>
      </c>
      <c r="B98" s="354" t="n"/>
      <c r="C98" s="412" t="inlineStr">
        <is>
          <t>Oil Filter Replace</t>
        </is>
      </c>
      <c r="D98" s="354" t="n"/>
      <c r="E98" s="354" t="n"/>
      <c r="F98" s="354" t="n"/>
      <c r="G98" s="413" t="inlineStr">
        <is>
          <t>03/21/2026</t>
        </is>
      </c>
      <c r="H98" s="354" t="n"/>
      <c r="I98" s="424" t="inlineStr">
        <is>
          <t>2 days</t>
        </is>
      </c>
      <c r="J98" s="417" t="inlineStr">
        <is>
          <t>Every 500 hrs</t>
        </is>
      </c>
      <c r="K98" s="413" t="inlineStr">
        <is>
          <t>8944567412</t>
        </is>
      </c>
      <c r="L98" s="354" t="n"/>
    </row>
    <row r="99" ht="13.5" customHeight="1" s="273">
      <c r="A99" s="423" t="inlineStr">
        <is>
          <t>GEN-1 (P-101)</t>
        </is>
      </c>
      <c r="B99" s="354" t="n"/>
      <c r="C99" s="409" t="inlineStr">
        <is>
          <t>Air Filter Clean</t>
        </is>
      </c>
      <c r="D99" s="354" t="n"/>
      <c r="E99" s="354" t="n"/>
      <c r="F99" s="354" t="n"/>
      <c r="G99" s="410" t="inlineStr">
        <is>
          <t>03/29/2026</t>
        </is>
      </c>
      <c r="H99" s="354" t="n"/>
      <c r="I99" s="411" t="inlineStr">
        <is>
          <t>10 days</t>
        </is>
      </c>
      <c r="J99" s="415" t="inlineStr">
        <is>
          <t>Every 250 hrs</t>
        </is>
      </c>
      <c r="K99" s="410" t="inlineStr">
        <is>
          <t>P822768</t>
        </is>
      </c>
      <c r="L99" s="354" t="n"/>
    </row>
    <row r="100" ht="13.5" customHeight="1" s="273">
      <c r="A100" s="425" t="inlineStr">
        <is>
          <t>GEN-1 (P-101)</t>
        </is>
      </c>
      <c r="B100" s="354" t="n"/>
      <c r="C100" s="412" t="inlineStr">
        <is>
          <t>Exhaust Carbon Purge</t>
        </is>
      </c>
      <c r="D100" s="354" t="n"/>
      <c r="E100" s="354" t="n"/>
      <c r="F100" s="354" t="n"/>
      <c r="G100" s="413" t="inlineStr">
        <is>
          <t>03/29/2026</t>
        </is>
      </c>
      <c r="H100" s="354" t="n"/>
      <c r="I100" s="411" t="inlineStr">
        <is>
          <t>10 days</t>
        </is>
      </c>
      <c r="J100" s="417" t="inlineStr">
        <is>
          <t>Every 250 hrs</t>
        </is>
      </c>
      <c r="K100" s="413" t="inlineStr">
        <is>
          <t>—</t>
        </is>
      </c>
      <c r="L100" s="354" t="n"/>
    </row>
    <row r="101" ht="13.5" customHeight="1" s="273">
      <c r="A101" s="423" t="inlineStr">
        <is>
          <t>GEN-1 (P-101)</t>
        </is>
      </c>
      <c r="B101" s="354" t="n"/>
      <c r="C101" s="409" t="inlineStr">
        <is>
          <t>Fuel Tank Drain Water</t>
        </is>
      </c>
      <c r="D101" s="354" t="n"/>
      <c r="E101" s="354" t="n"/>
      <c r="F101" s="354" t="n"/>
      <c r="G101" s="410" t="inlineStr">
        <is>
          <t>03/29/2026</t>
        </is>
      </c>
      <c r="H101" s="354" t="n"/>
      <c r="I101" s="411" t="inlineStr">
        <is>
          <t>10 days</t>
        </is>
      </c>
      <c r="J101" s="415" t="inlineStr">
        <is>
          <t>Every 250 hrs</t>
        </is>
      </c>
      <c r="K101" s="410" t="inlineStr">
        <is>
          <t>V106-000110</t>
        </is>
      </c>
      <c r="L101" s="354" t="n"/>
    </row>
    <row r="102" ht="13.5" customHeight="1" s="273">
      <c r="A102" s="425" t="inlineStr">
        <is>
          <t>GEN-2 (P-102)</t>
        </is>
      </c>
      <c r="B102" s="354" t="n"/>
      <c r="C102" s="412" t="inlineStr">
        <is>
          <t>Air Filter Clean</t>
        </is>
      </c>
      <c r="D102" s="354" t="n"/>
      <c r="E102" s="354" t="n"/>
      <c r="F102" s="354" t="n"/>
      <c r="G102" s="413" t="inlineStr">
        <is>
          <t>03/29/2026</t>
        </is>
      </c>
      <c r="H102" s="354" t="n"/>
      <c r="I102" s="411" t="inlineStr">
        <is>
          <t>10 days</t>
        </is>
      </c>
      <c r="J102" s="417" t="inlineStr">
        <is>
          <t>Every 250 hrs</t>
        </is>
      </c>
      <c r="K102" s="413" t="inlineStr">
        <is>
          <t>P822768</t>
        </is>
      </c>
      <c r="L102" s="354" t="n"/>
    </row>
    <row r="103" ht="13.5" customHeight="1" s="273">
      <c r="A103" s="423" t="inlineStr">
        <is>
          <t>GEN-2 (P-102)</t>
        </is>
      </c>
      <c r="B103" s="354" t="n"/>
      <c r="C103" s="409" t="inlineStr">
        <is>
          <t>Exhaust Carbon Purge</t>
        </is>
      </c>
      <c r="D103" s="354" t="n"/>
      <c r="E103" s="354" t="n"/>
      <c r="F103" s="354" t="n"/>
      <c r="G103" s="410" t="inlineStr">
        <is>
          <t>03/29/2026</t>
        </is>
      </c>
      <c r="H103" s="354" t="n"/>
      <c r="I103" s="411" t="inlineStr">
        <is>
          <t>10 days</t>
        </is>
      </c>
      <c r="J103" s="415" t="inlineStr">
        <is>
          <t>Every 250 hrs</t>
        </is>
      </c>
      <c r="K103" s="410" t="inlineStr">
        <is>
          <t>—</t>
        </is>
      </c>
      <c r="L103" s="354" t="n"/>
    </row>
    <row r="104" ht="13.5" customHeight="1" s="273">
      <c r="A104" s="425" t="inlineStr">
        <is>
          <t>GEN-2 (P-102)</t>
        </is>
      </c>
      <c r="B104" s="354" t="n"/>
      <c r="C104" s="412" t="inlineStr">
        <is>
          <t>Fuel Tank Drain Water</t>
        </is>
      </c>
      <c r="D104" s="354" t="n"/>
      <c r="E104" s="354" t="n"/>
      <c r="F104" s="354" t="n"/>
      <c r="G104" s="413" t="inlineStr">
        <is>
          <t>03/29/2026</t>
        </is>
      </c>
      <c r="H104" s="354" t="n"/>
      <c r="I104" s="411" t="inlineStr">
        <is>
          <t>10 days</t>
        </is>
      </c>
      <c r="J104" s="417" t="inlineStr">
        <is>
          <t>Every 250 hrs</t>
        </is>
      </c>
      <c r="K104" s="413" t="inlineStr">
        <is>
          <t>V106-000110</t>
        </is>
      </c>
      <c r="L104" s="354" t="n"/>
    </row>
    <row r="105" ht="13.5" customHeight="1" s="273">
      <c r="A105" s="423" t="inlineStr">
        <is>
          <t>GEN-3 (P-103)</t>
        </is>
      </c>
      <c r="B105" s="354" t="n"/>
      <c r="C105" s="409" t="inlineStr">
        <is>
          <t>Air Filter Clean</t>
        </is>
      </c>
      <c r="D105" s="354" t="n"/>
      <c r="E105" s="354" t="n"/>
      <c r="F105" s="354" t="n"/>
      <c r="G105" s="410" t="inlineStr">
        <is>
          <t>03/29/2026</t>
        </is>
      </c>
      <c r="H105" s="354" t="n"/>
      <c r="I105" s="411" t="inlineStr">
        <is>
          <t>10 days</t>
        </is>
      </c>
      <c r="J105" s="415" t="inlineStr">
        <is>
          <t>Every 250 hrs</t>
        </is>
      </c>
      <c r="K105" s="410" t="inlineStr">
        <is>
          <t>P822768</t>
        </is>
      </c>
      <c r="L105" s="354" t="n"/>
    </row>
    <row r="106" ht="13.5" customHeight="1" s="273">
      <c r="A106" s="425" t="inlineStr">
        <is>
          <t>GEN-3 (P-103)</t>
        </is>
      </c>
      <c r="B106" s="354" t="n"/>
      <c r="C106" s="412" t="inlineStr">
        <is>
          <t>Exhaust Carbon Purge</t>
        </is>
      </c>
      <c r="D106" s="354" t="n"/>
      <c r="E106" s="354" t="n"/>
      <c r="F106" s="354" t="n"/>
      <c r="G106" s="413" t="inlineStr">
        <is>
          <t>03/29/2026</t>
        </is>
      </c>
      <c r="H106" s="354" t="n"/>
      <c r="I106" s="411" t="inlineStr">
        <is>
          <t>10 days</t>
        </is>
      </c>
      <c r="J106" s="417" t="inlineStr">
        <is>
          <t>Every 250 hrs</t>
        </is>
      </c>
      <c r="K106" s="413" t="inlineStr">
        <is>
          <t>—</t>
        </is>
      </c>
      <c r="L106" s="354" t="n"/>
    </row>
    <row r="107" ht="13.5" customHeight="1" s="273">
      <c r="A107" s="423" t="inlineStr">
        <is>
          <t>GEN-3 (P-103)</t>
        </is>
      </c>
      <c r="B107" s="354" t="n"/>
      <c r="C107" s="409" t="inlineStr">
        <is>
          <t>Fuel Tank Drain Water</t>
        </is>
      </c>
      <c r="D107" s="354" t="n"/>
      <c r="E107" s="354" t="n"/>
      <c r="F107" s="354" t="n"/>
      <c r="G107" s="410" t="inlineStr">
        <is>
          <t>03/29/2026</t>
        </is>
      </c>
      <c r="H107" s="354" t="n"/>
      <c r="I107" s="411" t="inlineStr">
        <is>
          <t>10 days</t>
        </is>
      </c>
      <c r="J107" s="415" t="inlineStr">
        <is>
          <t>Every 250 hrs</t>
        </is>
      </c>
      <c r="K107" s="410" t="inlineStr">
        <is>
          <t>V106-000110</t>
        </is>
      </c>
      <c r="L107" s="354" t="n"/>
    </row>
    <row r="108" ht="13.5" customHeight="1" s="273">
      <c r="A108" s="425" t="inlineStr">
        <is>
          <t>GEN-1 (P-101)</t>
        </is>
      </c>
      <c r="B108" s="354" t="n"/>
      <c r="C108" s="412" t="inlineStr">
        <is>
          <t>Air Filter Replace</t>
        </is>
      </c>
      <c r="D108" s="354" t="n"/>
      <c r="E108" s="354" t="n"/>
      <c r="F108" s="354" t="n"/>
      <c r="G108" s="413" t="inlineStr">
        <is>
          <t>04/08/2026</t>
        </is>
      </c>
      <c r="H108" s="354" t="n"/>
      <c r="I108" s="411" t="inlineStr">
        <is>
          <t>20 days</t>
        </is>
      </c>
      <c r="J108" s="417" t="inlineStr">
        <is>
          <t>Every 500 hrs</t>
        </is>
      </c>
      <c r="K108" s="413" t="inlineStr">
        <is>
          <t>P822768</t>
        </is>
      </c>
      <c r="L108" s="354" t="n"/>
    </row>
    <row r="109" ht="13.5" customHeight="1" s="273">
      <c r="A109" s="423" t="inlineStr">
        <is>
          <t>GEN-1 (P-101)</t>
        </is>
      </c>
      <c r="B109" s="354" t="n"/>
      <c r="C109" s="409" t="inlineStr">
        <is>
          <t>Fuel Filter Replace (Main)</t>
        </is>
      </c>
      <c r="D109" s="354" t="n"/>
      <c r="E109" s="354" t="n"/>
      <c r="F109" s="354" t="n"/>
      <c r="G109" s="410" t="inlineStr">
        <is>
          <t>04/08/2026</t>
        </is>
      </c>
      <c r="H109" s="354" t="n"/>
      <c r="I109" s="411" t="inlineStr">
        <is>
          <t>20 days</t>
        </is>
      </c>
      <c r="J109" s="415" t="inlineStr">
        <is>
          <t>Every 500 hrs</t>
        </is>
      </c>
      <c r="K109" s="410" t="inlineStr">
        <is>
          <t>8982402800</t>
        </is>
      </c>
      <c r="L109" s="354" t="n"/>
    </row>
    <row r="110" ht="21.75" customHeight="1" s="273">
      <c r="A110" s="425" t="inlineStr">
        <is>
          <t>GEN-1 (P-101)</t>
        </is>
      </c>
      <c r="B110" s="408" t="n"/>
      <c r="C110" s="412" t="inlineStr">
        <is>
          <t>Fuel Filter Replace (Pre)</t>
        </is>
      </c>
      <c r="D110" s="408" t="n"/>
      <c r="E110" s="408" t="n"/>
      <c r="F110" s="408" t="n"/>
      <c r="G110" s="413" t="inlineStr">
        <is>
          <t>04/08/2026</t>
        </is>
      </c>
      <c r="H110" s="408" t="n"/>
      <c r="I110" s="411" t="inlineStr">
        <is>
          <t>20 days</t>
        </is>
      </c>
      <c r="J110" s="417" t="inlineStr">
        <is>
          <t>Every 500 hrs</t>
        </is>
      </c>
      <c r="K110" s="413" t="inlineStr">
        <is>
          <t>8982402790</t>
        </is>
      </c>
      <c r="L110" s="408" t="n"/>
    </row>
    <row r="111" ht="7.5" customHeight="1" s="273">
      <c r="A111" s="423" t="inlineStr">
        <is>
          <t>GEN-1 (P-101)</t>
        </is>
      </c>
      <c r="B111" s="408" t="n"/>
      <c r="C111" s="409" t="inlineStr">
        <is>
          <t>EM Pump Filter Clean/Replace</t>
        </is>
      </c>
      <c r="D111" s="408" t="n"/>
      <c r="E111" s="408" t="n"/>
      <c r="F111" s="408" t="n"/>
      <c r="G111" s="410" t="inlineStr">
        <is>
          <t>04/08/2026</t>
        </is>
      </c>
      <c r="H111" s="408" t="n"/>
      <c r="I111" s="411" t="inlineStr">
        <is>
          <t>20 days</t>
        </is>
      </c>
      <c r="J111" s="415" t="inlineStr">
        <is>
          <t>Every 500 hrs</t>
        </is>
      </c>
      <c r="K111" s="410" t="inlineStr">
        <is>
          <t>8980714010</t>
        </is>
      </c>
      <c r="L111" s="408" t="n"/>
    </row>
    <row r="112" ht="9.75" customHeight="1" s="273">
      <c r="A112" s="425" t="inlineStr">
        <is>
          <t>GEN-1 (P-101)</t>
        </is>
      </c>
      <c r="B112" s="354" t="n"/>
      <c r="C112" s="354" t="n"/>
      <c r="D112" s="354" t="n"/>
      <c r="E112" s="354" t="n"/>
      <c r="F112" s="354" t="n"/>
      <c r="G112" s="354" t="n"/>
      <c r="H112" s="354" t="n"/>
      <c r="I112" s="354" t="n"/>
      <c r="J112" s="354" t="n"/>
      <c r="K112" s="354" t="n"/>
      <c r="L112" s="354" t="n"/>
    </row>
    <row r="113" ht="9.75" customHeight="1" s="273">
      <c r="A113" s="423" t="inlineStr">
        <is>
          <t>GEN-2 (P-102)</t>
        </is>
      </c>
      <c r="B113" s="354" t="n"/>
      <c r="C113" s="354" t="n"/>
      <c r="D113" s="354" t="n"/>
      <c r="E113" s="354" t="n"/>
      <c r="F113" s="354" t="n"/>
      <c r="G113" s="354" t="n"/>
      <c r="H113" s="354" t="n"/>
      <c r="I113" s="354" t="n"/>
      <c r="J113" s="354" t="n"/>
      <c r="K113" s="354" t="n"/>
      <c r="L113" s="408" t="n"/>
    </row>
    <row r="114" ht="15.75" customHeight="1" s="273">
      <c r="A114" s="425" t="inlineStr">
        <is>
          <t>GEN-2 (P-102)</t>
        </is>
      </c>
      <c r="B114" s="354" t="n"/>
      <c r="C114" s="354" t="n"/>
      <c r="D114" s="354" t="n"/>
      <c r="E114" s="354" t="n"/>
      <c r="F114" s="354" t="n"/>
      <c r="G114" s="354" t="n"/>
      <c r="H114" s="354" t="n"/>
      <c r="I114" s="354" t="n"/>
      <c r="J114" s="354" t="n"/>
      <c r="K114" s="354" t="n"/>
      <c r="L114" s="408" t="n"/>
    </row>
    <row r="115" ht="15.75" customHeight="1" s="273">
      <c r="A115" s="423" t="inlineStr">
        <is>
          <t>GEN-2 (P-102)</t>
        </is>
      </c>
      <c r="B115" s="354" t="n"/>
      <c r="C115" s="354" t="n"/>
      <c r="D115" s="354" t="n"/>
      <c r="E115" s="354" t="n"/>
      <c r="F115" s="354" t="n"/>
      <c r="G115" s="354" t="n"/>
      <c r="H115" s="354" t="n"/>
      <c r="I115" s="354" t="n"/>
      <c r="J115" s="354" t="n"/>
      <c r="K115" s="354" t="n"/>
      <c r="L115" s="354" t="n"/>
      <c r="M115" s="354" t="n"/>
      <c r="N115" s="354" t="n"/>
    </row>
    <row r="116" ht="6" customHeight="1" s="273">
      <c r="A116" s="425" t="inlineStr">
        <is>
          <t>GEN-2 (P-102)</t>
        </is>
      </c>
      <c r="B116" s="354" t="n"/>
      <c r="C116" s="412" t="inlineStr">
        <is>
          <t>EM Pump Filter Clean/Replace</t>
        </is>
      </c>
      <c r="D116" s="354" t="n"/>
      <c r="E116" s="408" t="n"/>
      <c r="F116" s="408" t="n"/>
      <c r="G116" s="354" t="n"/>
      <c r="H116" s="408" t="n"/>
      <c r="I116" s="411" t="inlineStr">
        <is>
          <t>20 days</t>
        </is>
      </c>
      <c r="J116" s="417" t="inlineStr">
        <is>
          <t>Every 500 hrs</t>
        </is>
      </c>
      <c r="K116" s="413" t="inlineStr">
        <is>
          <t>8980714010</t>
        </is>
      </c>
      <c r="L116" s="408" t="n"/>
    </row>
    <row r="117" ht="27.75" customHeight="1" s="273">
      <c r="A117" s="423" t="inlineStr">
        <is>
          <t>GEN-2 (P-102)</t>
        </is>
      </c>
      <c r="B117" s="354" t="n"/>
      <c r="C117" s="409" t="inlineStr">
        <is>
          <t>Spill Containment Clean</t>
        </is>
      </c>
      <c r="D117" s="354" t="n"/>
      <c r="E117" s="408" t="n"/>
      <c r="F117" s="408" t="n"/>
      <c r="G117" s="410" t="inlineStr">
        <is>
          <t>04/08/2026</t>
        </is>
      </c>
      <c r="H117" s="354" t="n"/>
      <c r="I117" s="411" t="inlineStr">
        <is>
          <t>20 days</t>
        </is>
      </c>
      <c r="J117" s="355" t="n"/>
      <c r="K117" s="410" t="inlineStr">
        <is>
          <t>—</t>
        </is>
      </c>
      <c r="L117" s="408" t="n"/>
      <c r="M117" s="272" t="n"/>
    </row>
    <row r="118" ht="15" customHeight="1" s="273">
      <c r="A118" s="425" t="inlineStr">
        <is>
          <t>GEN-3 (P-103)</t>
        </is>
      </c>
      <c r="B118" s="354" t="n"/>
      <c r="C118" s="354" t="n"/>
      <c r="D118" s="408" t="n"/>
      <c r="E118" s="408" t="n"/>
      <c r="F118" s="408" t="n"/>
      <c r="G118" s="354" t="n"/>
      <c r="H118" s="408" t="n"/>
      <c r="I118" s="411" t="inlineStr">
        <is>
          <t>20 days</t>
        </is>
      </c>
      <c r="J118" s="355" t="n"/>
      <c r="K118" s="413" t="inlineStr">
        <is>
          <t>P822768</t>
        </is>
      </c>
      <c r="L118" s="408" t="n"/>
      <c r="M118" s="272" t="n"/>
    </row>
    <row r="119" ht="15" customHeight="1" s="273">
      <c r="A119" s="423" t="inlineStr">
        <is>
          <t>GEN-3 (P-103)</t>
        </is>
      </c>
      <c r="B119" s="354" t="n"/>
      <c r="C119" s="409" t="inlineStr">
        <is>
          <t>Fuel Filter Replace (Main)</t>
        </is>
      </c>
      <c r="D119" s="354" t="n"/>
      <c r="E119" s="408" t="n"/>
      <c r="F119" s="408" t="n"/>
      <c r="G119" s="354" t="n"/>
      <c r="H119" s="408" t="n"/>
      <c r="I119" s="411" t="inlineStr">
        <is>
          <t>20 days</t>
        </is>
      </c>
      <c r="J119" s="355" t="n"/>
      <c r="K119" s="410" t="inlineStr">
        <is>
          <t>8982402800</t>
        </is>
      </c>
      <c r="L119" s="408" t="n"/>
      <c r="M119" s="272" t="n"/>
    </row>
    <row r="120" ht="15" customHeight="1" s="273">
      <c r="A120" s="425" t="inlineStr">
        <is>
          <t>GEN-3 (P-103)</t>
        </is>
      </c>
      <c r="B120" s="354" t="n"/>
      <c r="C120" s="354" t="n"/>
      <c r="D120" s="408" t="n"/>
      <c r="E120" s="408" t="n"/>
      <c r="F120" s="408" t="n"/>
      <c r="G120" s="413" t="inlineStr">
        <is>
          <t>04/08/2026</t>
        </is>
      </c>
      <c r="H120" s="354" t="n"/>
      <c r="I120" s="411" t="inlineStr">
        <is>
          <t>20 days</t>
        </is>
      </c>
      <c r="J120" s="355" t="n"/>
      <c r="K120" s="413" t="inlineStr">
        <is>
          <t>8982402790</t>
        </is>
      </c>
      <c r="L120" s="408" t="n"/>
      <c r="M120" s="272" t="n"/>
    </row>
    <row r="121" ht="15" customHeight="1" s="273">
      <c r="A121" s="423" t="inlineStr">
        <is>
          <t>GEN-3 (P-103)</t>
        </is>
      </c>
      <c r="B121" s="354" t="n"/>
      <c r="C121" s="409" t="inlineStr">
        <is>
          <t>EM Pump Filter Clean/Replace</t>
        </is>
      </c>
      <c r="D121" s="354" t="n"/>
      <c r="E121" s="408" t="n"/>
      <c r="F121" s="408" t="n"/>
      <c r="G121" s="354" t="n"/>
      <c r="H121" s="408" t="n"/>
      <c r="I121" s="411" t="inlineStr">
        <is>
          <t>20 days</t>
        </is>
      </c>
      <c r="J121" s="355" t="n"/>
      <c r="K121" s="410" t="inlineStr">
        <is>
          <t>8980714010</t>
        </is>
      </c>
      <c r="L121" s="408" t="n"/>
      <c r="M121" s="272" t="n"/>
    </row>
    <row r="122" ht="15" customHeight="1" s="273">
      <c r="A122" s="425" t="inlineStr">
        <is>
          <t>GEN-3 (P-103)</t>
        </is>
      </c>
      <c r="B122" s="354" t="n"/>
      <c r="C122" s="354" t="n"/>
      <c r="D122" s="408" t="n"/>
      <c r="E122" s="408" t="n"/>
      <c r="F122" s="408" t="n"/>
      <c r="G122" s="354" t="n"/>
      <c r="H122" s="408" t="n"/>
      <c r="I122" s="411" t="inlineStr">
        <is>
          <t>20 days</t>
        </is>
      </c>
      <c r="J122" s="355" t="n"/>
      <c r="K122" s="413" t="inlineStr">
        <is>
          <t>—</t>
        </is>
      </c>
      <c r="L122" s="408" t="n"/>
      <c r="M122" s="272" t="n"/>
    </row>
    <row r="123" ht="15" customHeight="1" s="273">
      <c r="A123" s="423" t="inlineStr">
        <is>
          <t>GEN-1 (P-101)</t>
        </is>
      </c>
      <c r="B123" s="354" t="n"/>
      <c r="C123" s="409" t="inlineStr">
        <is>
          <t>Coolant Replace / Radiator Flush</t>
        </is>
      </c>
      <c r="D123" s="354" t="n"/>
      <c r="E123" s="408" t="n"/>
      <c r="F123" s="408" t="n"/>
      <c r="G123" s="354" t="n"/>
      <c r="H123" s="408" t="n"/>
      <c r="I123" s="411" t="inlineStr">
        <is>
          <t>41 days</t>
        </is>
      </c>
      <c r="J123" s="355" t="n"/>
      <c r="K123" s="410" t="inlineStr">
        <is>
          <t>—</t>
        </is>
      </c>
      <c r="L123" s="408" t="n"/>
      <c r="M123" s="272" t="n"/>
    </row>
    <row r="124" ht="15" customHeight="1" s="273">
      <c r="A124" s="425" t="inlineStr">
        <is>
          <t>GEN-2 (P-102)</t>
        </is>
      </c>
      <c r="B124" s="354" t="n"/>
      <c r="C124" s="354" t="n"/>
      <c r="D124" s="408" t="n"/>
      <c r="E124" s="408" t="n"/>
      <c r="F124" s="408" t="n"/>
      <c r="G124" s="354" t="n"/>
      <c r="H124" s="408" t="n"/>
      <c r="I124" s="411" t="inlineStr">
        <is>
          <t>41 days</t>
        </is>
      </c>
      <c r="J124" s="355" t="n"/>
      <c r="K124" s="413" t="inlineStr">
        <is>
          <t>—</t>
        </is>
      </c>
      <c r="L124" s="408" t="n"/>
      <c r="M124" s="272" t="n"/>
    </row>
    <row r="125" ht="15" customHeight="1" s="273">
      <c r="A125" s="423" t="inlineStr">
        <is>
          <t>GEN-3 (P-103)</t>
        </is>
      </c>
      <c r="B125" s="354" t="n"/>
      <c r="C125" s="409" t="inlineStr">
        <is>
          <t>Coolant Replace / Radiator Flush</t>
        </is>
      </c>
      <c r="D125" s="354" t="n"/>
      <c r="E125" s="408" t="n"/>
      <c r="F125" s="408" t="n"/>
      <c r="G125" s="410" t="inlineStr">
        <is>
          <t>04/29/2026</t>
        </is>
      </c>
      <c r="H125" s="354" t="n"/>
      <c r="I125" s="411" t="inlineStr">
        <is>
          <t>41 days</t>
        </is>
      </c>
      <c r="J125" s="355" t="n"/>
      <c r="K125" s="410" t="inlineStr">
        <is>
          <t>—</t>
        </is>
      </c>
      <c r="L125" s="408" t="n"/>
      <c r="M125" s="272" t="n"/>
    </row>
    <row r="126" ht="15" customHeight="1" s="273">
      <c r="A126" s="425" t="inlineStr">
        <is>
          <t>GEN-1 (P-101)</t>
        </is>
      </c>
      <c r="B126" s="354" t="n"/>
      <c r="C126" s="354" t="n"/>
      <c r="D126" s="354" t="n"/>
      <c r="E126" s="354" t="n"/>
      <c r="F126" s="354" t="n"/>
      <c r="G126" s="354" t="n"/>
      <c r="H126" s="408" t="n"/>
      <c r="I126" s="411" t="inlineStr">
        <is>
          <t>62 days</t>
        </is>
      </c>
      <c r="J126" s="355" t="n"/>
      <c r="K126" s="413" t="inlineStr">
        <is>
          <t>—</t>
        </is>
      </c>
      <c r="L126" s="408" t="n"/>
      <c r="M126" s="272" t="n"/>
    </row>
    <row r="127" ht="15" customHeight="1" s="273">
      <c r="A127" s="423" t="inlineStr">
        <is>
          <t>GEN-1 (P-101)</t>
        </is>
      </c>
      <c r="B127" s="354" t="n"/>
      <c r="C127" s="409" t="inlineStr">
        <is>
          <t>Valve Clearance Check/Adjust</t>
        </is>
      </c>
      <c r="D127" s="354" t="n"/>
      <c r="E127" s="408" t="n"/>
      <c r="F127" s="408" t="n"/>
      <c r="G127" s="410" t="inlineStr">
        <is>
          <t>05/20/2026</t>
        </is>
      </c>
      <c r="H127" s="354" t="n"/>
      <c r="I127" s="411" t="inlineStr">
        <is>
          <t>62 days</t>
        </is>
      </c>
      <c r="J127" s="355" t="n"/>
      <c r="K127" s="410" t="inlineStr">
        <is>
          <t>—</t>
        </is>
      </c>
      <c r="L127" s="408" t="n"/>
      <c r="M127" s="272" t="n"/>
    </row>
    <row r="128" ht="15" customHeight="1" s="273">
      <c r="A128" s="425" t="inlineStr">
        <is>
          <t>GEN-2 (P-102)</t>
        </is>
      </c>
      <c r="B128" s="354" t="n"/>
      <c r="C128" s="354" t="n"/>
      <c r="D128" s="408" t="n"/>
      <c r="E128" s="408" t="n"/>
      <c r="F128" s="408" t="n"/>
      <c r="G128" s="413" t="inlineStr">
        <is>
          <t>05/20/2026</t>
        </is>
      </c>
      <c r="H128" s="354" t="n"/>
      <c r="I128" s="411" t="inlineStr">
        <is>
          <t>62 days</t>
        </is>
      </c>
      <c r="J128" s="355" t="n"/>
      <c r="K128" s="413" t="inlineStr">
        <is>
          <t>—</t>
        </is>
      </c>
      <c r="L128" s="408" t="n"/>
      <c r="M128" s="272" t="n"/>
    </row>
    <row r="129" ht="15" customHeight="1" s="273">
      <c r="A129" s="423" t="inlineStr">
        <is>
          <t>GEN-2 (P-102)</t>
        </is>
      </c>
      <c r="B129" s="354" t="n"/>
      <c r="C129" s="354" t="n"/>
      <c r="D129" s="408" t="n"/>
      <c r="E129" s="408" t="n"/>
      <c r="F129" s="408" t="n"/>
      <c r="G129" s="410" t="inlineStr">
        <is>
          <t>05/20/2026</t>
        </is>
      </c>
      <c r="H129" s="354" t="n"/>
      <c r="I129" s="411" t="inlineStr">
        <is>
          <t>62 days</t>
        </is>
      </c>
      <c r="J129" s="355" t="n"/>
      <c r="K129" s="410" t="inlineStr">
        <is>
          <t>—</t>
        </is>
      </c>
      <c r="L129" s="408" t="n"/>
      <c r="M129" s="272" t="n"/>
    </row>
    <row r="130" ht="15" customHeight="1" s="273">
      <c r="A130" s="425" t="inlineStr">
        <is>
          <t>GEN-3 (P-103)</t>
        </is>
      </c>
      <c r="B130" s="354" t="n"/>
      <c r="C130" s="354" t="n"/>
      <c r="D130" s="354" t="n"/>
      <c r="E130" s="354" t="n"/>
      <c r="F130" s="354" t="n"/>
      <c r="G130" s="354" t="n"/>
      <c r="H130" s="354" t="n"/>
      <c r="I130" s="354" t="n"/>
      <c r="J130" s="354" t="n"/>
      <c r="K130" s="354" t="n"/>
      <c r="L130" s="408" t="n"/>
      <c r="M130" s="272" t="n"/>
    </row>
    <row r="131" ht="15" customHeight="1" s="273">
      <c r="A131" s="423" t="inlineStr">
        <is>
          <t>GEN-3 (P-103)</t>
        </is>
      </c>
      <c r="B131" s="354" t="n"/>
      <c r="C131" s="409" t="inlineStr">
        <is>
          <t>Valve Clearance Check/Adjust</t>
        </is>
      </c>
      <c r="D131" s="354" t="n"/>
      <c r="E131" s="408" t="n"/>
      <c r="F131" s="354" t="n"/>
      <c r="G131" s="354" t="n"/>
      <c r="H131" s="408" t="n"/>
      <c r="I131" s="354" t="n"/>
      <c r="J131" s="354" t="n"/>
      <c r="K131" s="354" t="n"/>
      <c r="L131" s="408" t="n"/>
      <c r="M131" s="272" t="n"/>
    </row>
    <row r="132" ht="15" customHeight="1" s="273">
      <c r="A132" s="272" t="n"/>
      <c r="G132" s="272" t="n"/>
      <c r="M132" s="272" t="n"/>
    </row>
    <row r="133" ht="18" customHeight="1" s="273">
      <c r="A133" s="272" t="n"/>
      <c r="H133" s="272" t="n"/>
      <c r="L133" s="272" t="n"/>
    </row>
    <row r="134" ht="7.5" customHeight="1" s="273">
      <c r="A134" s="272" t="n"/>
      <c r="C134" s="272" t="n"/>
      <c r="E134" s="272" t="n"/>
      <c r="H134" s="272" t="n"/>
    </row>
    <row r="135" ht="9.75" customHeight="1" s="273"/>
    <row r="136" ht="157.5" customHeight="1" s="273">
      <c r="A136" s="390" t="inlineStr">
        <is>
          <t xml:space="preserve">  GENERATOR MAINTENANCE — ESTIMATED ANNUAL COST SUMMARY  (Parts Only · Actual NAPA Pricing)</t>
        </is>
      </c>
      <c r="B136" s="408" t="n"/>
      <c r="C136" s="408" t="n"/>
      <c r="D136" s="408" t="n"/>
      <c r="E136" s="408" t="n"/>
      <c r="F136" s="408" t="n"/>
      <c r="G136" s="408" t="n"/>
      <c r="H136" s="408" t="n"/>
      <c r="I136" s="408" t="n"/>
      <c r="J136" s="408" t="n"/>
      <c r="K136" s="407" t="n"/>
      <c r="L136" s="389" t="n"/>
      <c r="M136" s="389" t="n"/>
      <c r="N136" s="389" t="n"/>
    </row>
    <row r="137" ht="116.25" customHeight="1" s="273">
      <c r="A137" s="384" t="inlineStr">
        <is>
          <t>Green = confirmed from NAPA invoices  ·  Yellow (~) = estimated pending invoice  ·  Distributor labor not included  ·  Running 24 hrs/day = 8,760 hrs/yr</t>
        </is>
      </c>
      <c r="B137" s="408" t="n"/>
      <c r="C137" s="408" t="n"/>
      <c r="D137" s="408" t="n"/>
      <c r="E137" s="408" t="n"/>
      <c r="F137" s="408" t="n"/>
      <c r="G137" s="408" t="n"/>
      <c r="H137" s="408" t="n"/>
      <c r="I137" s="408" t="n"/>
      <c r="J137" s="408" t="n"/>
      <c r="K137" s="408" t="n"/>
      <c r="L137" s="408" t="n"/>
      <c r="M137" s="408" t="n"/>
      <c r="N137" s="407" t="n"/>
    </row>
    <row r="138" ht="234" customHeight="1" s="273"/>
    <row r="139" ht="32.25" customHeight="1" s="273">
      <c r="A139" s="360" t="inlineStr">
        <is>
          <t>Task</t>
        </is>
      </c>
      <c r="B139" s="407" t="n"/>
      <c r="C139" s="389" t="n"/>
      <c r="D139" s="407" t="n"/>
      <c r="E139" s="360" t="inlineStr">
        <is>
          <t>Cost/Event</t>
        </is>
      </c>
      <c r="F139" s="360" t="inlineStr">
        <is>
          <t>Events/yr
(1 gen)</t>
        </is>
      </c>
      <c r="G139" s="360" t="inlineStr">
        <is>
          <t>Annual Cost
(1 gen)</t>
        </is>
      </c>
      <c r="H139" s="407" t="n"/>
      <c r="I139" s="360" t="inlineStr">
        <is>
          <t>Annual Cost
(3 gens)</t>
        </is>
      </c>
      <c r="J139" s="407" t="n"/>
      <c r="K139" s="360" t="inlineStr">
        <is>
          <t>Monthly Avg
(3 gens)</t>
        </is>
      </c>
      <c r="L139" s="360" t="inlineStr">
        <is>
          <t>Price
Source</t>
        </is>
      </c>
      <c r="M139" s="360" t="inlineStr">
        <is>
          <t>Notes</t>
        </is>
      </c>
      <c r="N139" s="407" t="n"/>
    </row>
    <row r="140" ht="42.75" customHeight="1" s="273">
      <c r="A140" s="391" t="inlineStr">
        <is>
          <t>Engine Oil Replace</t>
        </is>
      </c>
      <c r="B140" s="408" t="n"/>
      <c r="C140" s="407" t="n"/>
      <c r="D140" s="393" t="inlineStr">
        <is>
          <t>Every 250 hrs</t>
        </is>
      </c>
      <c r="E140" s="392" t="n">
        <v>38.14</v>
      </c>
      <c r="F140" s="393" t="inlineStr">
        <is>
          <t>35.0×</t>
        </is>
      </c>
      <c r="G140" s="407" t="n"/>
      <c r="H140" s="389" t="n"/>
      <c r="I140" s="394" t="n">
        <v>4009.2768</v>
      </c>
      <c r="J140" s="407" t="n"/>
      <c r="K140" s="394" t="n">
        <v>334.1064</v>
      </c>
      <c r="L140" s="411" t="inlineStr">
        <is>
          <t>NAPA (actual)</t>
        </is>
      </c>
      <c r="M140" s="426" t="inlineStr">
        <is>
          <t>NAPA 75105 × 1.33 jugs + NAPA 1334 filter · Inv#507572</t>
        </is>
      </c>
      <c r="N140" s="407" t="n"/>
    </row>
    <row r="141" ht="74.25" customHeight="1" s="273">
      <c r="A141" s="395" t="inlineStr">
        <is>
          <t>Oil Filter Replace</t>
        </is>
      </c>
      <c r="B141" s="407" t="n"/>
      <c r="C141" s="389" t="n"/>
      <c r="D141" s="407" t="n"/>
      <c r="E141" s="392" t="n">
        <v>9.09</v>
      </c>
      <c r="F141" s="396" t="inlineStr">
        <is>
          <t>17.5×</t>
        </is>
      </c>
      <c r="G141" s="407" t="n"/>
      <c r="H141" s="389" t="n"/>
      <c r="I141" s="394" t="n">
        <v>477.7704</v>
      </c>
      <c r="J141" s="407" t="n"/>
      <c r="K141" s="394" t="n">
        <v>39.8142</v>
      </c>
      <c r="L141" s="411" t="inlineStr">
        <is>
          <t>NAPA (actual)</t>
        </is>
      </c>
      <c r="M141" s="427" t="inlineStr">
        <is>
          <t>NAPA 1334 Gold Oil Filter · Inv#507572 · included in 500hr oil change</t>
        </is>
      </c>
      <c r="N141" s="407" t="n"/>
    </row>
    <row r="142" ht="147.75" customHeight="1" s="273">
      <c r="A142" s="397" t="inlineStr">
        <is>
          <t>Air Filter Clean</t>
        </is>
      </c>
      <c r="B142" s="408" t="n"/>
      <c r="C142" s="407" t="n"/>
      <c r="D142" s="393" t="inlineStr">
        <is>
          <t>Every 250 hrs</t>
        </is>
      </c>
      <c r="E142" s="398" t="inlineStr">
        <is>
          <t>—</t>
        </is>
      </c>
      <c r="F142" s="393" t="inlineStr">
        <is>
          <t>35.0×</t>
        </is>
      </c>
      <c r="G142" s="398" t="inlineStr">
        <is>
          <t>—</t>
        </is>
      </c>
      <c r="H142" s="407" t="n"/>
      <c r="I142" s="398" t="inlineStr">
        <is>
          <t>—</t>
        </is>
      </c>
      <c r="J142" s="407" t="n"/>
      <c r="K142" s="398" t="inlineStr">
        <is>
          <t>—</t>
        </is>
      </c>
      <c r="L142" s="398" t="inlineStr">
        <is>
          <t>No parts</t>
        </is>
      </c>
      <c r="M142" s="426" t="inlineStr">
        <is>
          <t>Compressed air only</t>
        </is>
      </c>
      <c r="N142" s="407" t="n"/>
    </row>
    <row r="143" ht="15" customHeight="1" s="273">
      <c r="A143" s="395" t="inlineStr">
        <is>
          <t>Air Filter Replace</t>
        </is>
      </c>
      <c r="B143" s="407" t="n"/>
      <c r="C143" s="389" t="n"/>
      <c r="D143" s="407" t="n"/>
      <c r="E143" s="392" t="n">
        <v>55.12</v>
      </c>
      <c r="F143" s="396" t="inlineStr">
        <is>
          <t>17.5×</t>
        </is>
      </c>
      <c r="G143" s="407" t="n"/>
      <c r="H143" s="389" t="n"/>
      <c r="I143" s="394" t="n">
        <v>2897.1072</v>
      </c>
      <c r="J143" s="407" t="n"/>
      <c r="K143" s="394" t="n">
        <v>241.4256</v>
      </c>
      <c r="L143" s="411" t="inlineStr">
        <is>
          <t>NAPA (actual)</t>
        </is>
      </c>
      <c r="M143" s="427" t="inlineStr">
        <is>
          <t>Donaldson P822768 · Inv#507572</t>
        </is>
      </c>
      <c r="N143" s="407" t="n"/>
    </row>
    <row r="144" ht="15" customHeight="1" s="273">
      <c r="A144" s="391" t="inlineStr">
        <is>
          <t>Fuel Filter Replace (Main)</t>
        </is>
      </c>
      <c r="B144" s="408" t="n"/>
      <c r="C144" s="407" t="n"/>
      <c r="D144" s="393" t="inlineStr">
        <is>
          <t>Every 500 hrs</t>
        </is>
      </c>
      <c r="E144" s="400" t="n">
        <v>45</v>
      </c>
      <c r="F144" s="393" t="inlineStr">
        <is>
          <t>17.5×</t>
        </is>
      </c>
      <c r="G144" s="407" t="n"/>
      <c r="H144" s="389" t="n"/>
      <c r="I144" s="399" t="n">
        <v>2365.2</v>
      </c>
      <c r="J144" s="407" t="n"/>
      <c r="K144" s="399" t="n">
        <v>197.1</v>
      </c>
      <c r="L144" s="403" t="inlineStr">
        <is>
          <t>~Est. (pending)</t>
        </is>
      </c>
      <c r="M144" s="426" t="inlineStr">
        <is>
          <t>Isuzu 8982402800 · NAPA pending invoice</t>
        </is>
      </c>
      <c r="N144" s="407" t="n"/>
    </row>
    <row r="145" ht="21.75" customHeight="1" s="273">
      <c r="A145" s="395" t="inlineStr">
        <is>
          <t>Fuel Filter Replace (Pre)</t>
        </is>
      </c>
      <c r="B145" s="407" t="n"/>
      <c r="C145" s="389" t="n"/>
      <c r="D145" s="407" t="n"/>
      <c r="E145" s="400" t="n">
        <v>35</v>
      </c>
      <c r="F145" s="396" t="inlineStr">
        <is>
          <t>17.5×</t>
        </is>
      </c>
      <c r="G145" s="407" t="n"/>
      <c r="H145" s="389" t="n"/>
      <c r="I145" s="399" t="n">
        <v>1839.6</v>
      </c>
      <c r="J145" s="407" t="n"/>
      <c r="K145" s="399" t="n">
        <v>153.3</v>
      </c>
      <c r="L145" s="403" t="inlineStr">
        <is>
          <t>~Est. (pending)</t>
        </is>
      </c>
      <c r="M145" s="427" t="inlineStr">
        <is>
          <t>Isuzu 8982402790 · NAPA pending invoice</t>
        </is>
      </c>
      <c r="N145" s="407" t="n"/>
    </row>
    <row r="146" ht="18.75" customHeight="1" s="273">
      <c r="A146" s="391" t="inlineStr">
        <is>
          <t>EM Pump Filter</t>
        </is>
      </c>
      <c r="B146" s="408" t="n"/>
      <c r="C146" s="407" t="n"/>
      <c r="D146" s="393" t="inlineStr">
        <is>
          <t>Every 500 hrs</t>
        </is>
      </c>
      <c r="E146" s="400" t="n">
        <v>8</v>
      </c>
      <c r="F146" s="393" t="inlineStr">
        <is>
          <t>17.5×</t>
        </is>
      </c>
      <c r="G146" s="407" t="n"/>
      <c r="H146" s="389" t="n"/>
      <c r="I146" s="399" t="n">
        <v>420.48</v>
      </c>
      <c r="J146" s="407" t="n"/>
      <c r="K146" s="399" t="n">
        <v>35.04</v>
      </c>
      <c r="L146" s="403" t="inlineStr">
        <is>
          <t>~Est. (pending)</t>
        </is>
      </c>
      <c r="M146" s="426" t="inlineStr">
        <is>
          <t>Isuzu 8980714010 · small inline filter</t>
        </is>
      </c>
      <c r="N146" s="407" t="n"/>
    </row>
    <row r="147" ht="18.75" customHeight="1" s="273">
      <c r="A147" s="401" t="inlineStr">
        <is>
          <t>Exhaust Carbon Purge</t>
        </is>
      </c>
      <c r="B147" s="407" t="n"/>
      <c r="C147" s="389" t="n"/>
      <c r="D147" s="407" t="n"/>
      <c r="E147" s="402" t="inlineStr">
        <is>
          <t>—</t>
        </is>
      </c>
      <c r="F147" s="396" t="inlineStr">
        <is>
          <t>35.0×</t>
        </is>
      </c>
      <c r="G147" s="402" t="inlineStr">
        <is>
          <t>—</t>
        </is>
      </c>
      <c r="H147" s="407" t="n"/>
      <c r="I147" s="402" t="inlineStr">
        <is>
          <t>—</t>
        </is>
      </c>
      <c r="J147" s="407" t="n"/>
      <c r="K147" s="402" t="inlineStr">
        <is>
          <t>—</t>
        </is>
      </c>
      <c r="L147" s="402" t="inlineStr">
        <is>
          <t>No parts</t>
        </is>
      </c>
      <c r="M147" s="427" t="inlineStr">
        <is>
          <t>Operational procedure only</t>
        </is>
      </c>
      <c r="N147" s="407" t="n"/>
    </row>
    <row r="148" ht="15" customHeight="1" s="273">
      <c r="A148" s="391" t="inlineStr">
        <is>
          <t>Fuel Tank Drain Packing</t>
        </is>
      </c>
      <c r="B148" s="408" t="n"/>
      <c r="C148" s="408" t="n"/>
      <c r="D148" s="408" t="n"/>
      <c r="E148" s="408" t="n"/>
      <c r="F148" s="408" t="n"/>
      <c r="G148" s="407" t="n"/>
      <c r="H148" s="389" t="n"/>
      <c r="I148" s="399" t="n">
        <v>210.24</v>
      </c>
      <c r="J148" s="407" t="n"/>
      <c r="K148" s="399" t="n">
        <v>17.52</v>
      </c>
      <c r="L148" s="403" t="inlineStr">
        <is>
          <t>~Est. (pending)</t>
        </is>
      </c>
      <c r="M148" s="426" t="inlineStr">
        <is>
          <t>Drain plug packing V106-000110</t>
        </is>
      </c>
      <c r="N148" s="407" t="n"/>
    </row>
    <row r="149" ht="15" customHeight="1" s="273">
      <c r="A149" s="401" t="inlineStr">
        <is>
          <t>Spill Containment Clean</t>
        </is>
      </c>
      <c r="B149" s="407" t="n"/>
      <c r="C149" s="389" t="n"/>
      <c r="D149" s="407" t="n"/>
      <c r="E149" s="402" t="inlineStr">
        <is>
          <t>—</t>
        </is>
      </c>
      <c r="F149" s="396" t="inlineStr">
        <is>
          <t>17.5×</t>
        </is>
      </c>
      <c r="G149" s="402" t="inlineStr">
        <is>
          <t>—</t>
        </is>
      </c>
      <c r="H149" s="407" t="n"/>
      <c r="I149" s="402" t="inlineStr">
        <is>
          <t>—</t>
        </is>
      </c>
      <c r="J149" s="407" t="n"/>
      <c r="K149" s="402" t="inlineStr">
        <is>
          <t>—</t>
        </is>
      </c>
      <c r="L149" s="402" t="inlineStr">
        <is>
          <t>No parts</t>
        </is>
      </c>
      <c r="M149" s="427" t="inlineStr">
        <is>
          <t>Labor only</t>
        </is>
      </c>
      <c r="N149" s="407" t="n"/>
    </row>
    <row r="150" ht="18.75" customHeight="1" s="273">
      <c r="A150" s="391" t="inlineStr">
        <is>
          <t>Coolant Replace</t>
        </is>
      </c>
      <c r="B150" s="408" t="n"/>
      <c r="C150" s="407" t="n"/>
      <c r="D150" s="393" t="inlineStr">
        <is>
          <t>Every 1000 hrs</t>
        </is>
      </c>
      <c r="E150" s="392" t="n">
        <v>26.86</v>
      </c>
      <c r="F150" s="393" t="inlineStr">
        <is>
          <t>8.8×</t>
        </is>
      </c>
      <c r="G150" s="394" t="n">
        <v>235.2936</v>
      </c>
      <c r="H150" s="407" t="n"/>
      <c r="I150" s="394" t="n">
        <v>705.8808</v>
      </c>
      <c r="J150" s="407" t="n"/>
      <c r="K150" s="394" t="n">
        <v>58.8234</v>
      </c>
      <c r="L150" s="411" t="inlineStr">
        <is>
          <t>NAPA (actual)</t>
        </is>
      </c>
      <c r="M150" s="426" t="inlineStr">
        <is>
          <t>RTU EXT LIFE × 2.6 gal/gen · Inv#507048</t>
        </is>
      </c>
      <c r="N150" s="407" t="n"/>
    </row>
    <row r="151" ht="15" customHeight="1" s="273">
      <c r="A151" s="395" t="inlineStr">
        <is>
          <t>Fan Belt Replace</t>
        </is>
      </c>
      <c r="B151" s="408" t="n"/>
      <c r="C151" s="407" t="n"/>
      <c r="D151" s="396" t="inlineStr">
        <is>
          <t>Every 1500 hrs</t>
        </is>
      </c>
      <c r="E151" s="400" t="n">
        <v>85</v>
      </c>
      <c r="F151" s="396" t="inlineStr">
        <is>
          <t>5.8×</t>
        </is>
      </c>
      <c r="G151" s="399" t="n">
        <v>496.4</v>
      </c>
      <c r="H151" s="407" t="n"/>
      <c r="I151" s="399" t="n">
        <v>1489.2</v>
      </c>
      <c r="J151" s="407" t="n"/>
      <c r="K151" s="399" t="n">
        <v>124.1</v>
      </c>
      <c r="L151" s="403" t="inlineStr">
        <is>
          <t>~Est. (pending)</t>
        </is>
      </c>
      <c r="M151" s="427" t="inlineStr">
        <is>
          <t>Isuzu 4LE2T belt — distributor est.</t>
        </is>
      </c>
      <c r="N151" s="407" t="n"/>
    </row>
    <row r="152" ht="15" customHeight="1" s="273">
      <c r="A152" s="397" t="inlineStr">
        <is>
          <t>Valve Clearance</t>
        </is>
      </c>
      <c r="B152" s="408" t="n"/>
      <c r="C152" s="408" t="n"/>
      <c r="D152" s="408" t="n"/>
      <c r="E152" s="408" t="n"/>
      <c r="F152" s="408" t="n"/>
      <c r="G152" s="408" t="n"/>
      <c r="H152" s="408" t="n"/>
      <c r="I152" s="408" t="n"/>
      <c r="J152" s="408" t="n"/>
      <c r="K152" s="407" t="n"/>
      <c r="L152" s="398" t="inlineStr">
        <is>
          <t>Distributor TBD</t>
        </is>
      </c>
      <c r="M152" s="426" t="inlineStr">
        <is>
          <t>Authorized distributor only</t>
        </is>
      </c>
      <c r="N152" s="407" t="n"/>
    </row>
    <row r="153" ht="18.75" customHeight="1" s="273">
      <c r="A153" s="401" t="inlineStr">
        <is>
          <t>Fuel Injector Check</t>
        </is>
      </c>
      <c r="B153" s="407" t="n"/>
      <c r="C153" s="389" t="n"/>
      <c r="D153" s="407" t="n"/>
      <c r="E153" s="402" t="inlineStr">
        <is>
          <t>TBD</t>
        </is>
      </c>
      <c r="F153" s="408" t="n"/>
      <c r="G153" s="407" t="n"/>
      <c r="H153" s="389" t="n"/>
      <c r="I153" s="408" t="n"/>
      <c r="J153" s="408" t="n"/>
      <c r="K153" s="407" t="n"/>
      <c r="L153" s="402" t="inlineStr">
        <is>
          <t>Distributor TBD</t>
        </is>
      </c>
      <c r="M153" s="427" t="inlineStr">
        <is>
          <t>Authorized distributor only</t>
        </is>
      </c>
      <c r="N153" s="407" t="n"/>
    </row>
    <row r="154" ht="15" customHeight="1" s="273">
      <c r="A154" s="397" t="inlineStr">
        <is>
          <t>Insulation Test</t>
        </is>
      </c>
      <c r="B154" s="408" t="n"/>
      <c r="C154" s="407" t="n"/>
      <c r="D154" s="393" t="inlineStr">
        <is>
          <t>Every 3000 hrs</t>
        </is>
      </c>
      <c r="E154" s="398" t="inlineStr">
        <is>
          <t>TBD</t>
        </is>
      </c>
      <c r="F154" s="393" t="inlineStr">
        <is>
          <t>2.9×</t>
        </is>
      </c>
      <c r="G154" s="398" t="inlineStr">
        <is>
          <t>TBD</t>
        </is>
      </c>
      <c r="H154" s="407" t="n"/>
      <c r="I154" s="398" t="inlineStr">
        <is>
          <t>TBD</t>
        </is>
      </c>
      <c r="J154" s="389" t="n"/>
      <c r="K154" s="398" t="inlineStr">
        <is>
          <t>TBD</t>
        </is>
      </c>
      <c r="L154" s="398" t="inlineStr">
        <is>
          <t>Distributor TBD</t>
        </is>
      </c>
      <c r="M154" s="426" t="inlineStr">
        <is>
          <t>Authorized distributor only</t>
        </is>
      </c>
      <c r="N154" s="407" t="n"/>
    </row>
    <row r="155" ht="99.75" customHeight="1" s="273">
      <c r="A155" s="404" t="inlineStr">
        <is>
          <t>TOTAL — PARTS ONLY  (excl. distributor labor)</t>
        </is>
      </c>
      <c r="B155" s="408" t="n"/>
      <c r="C155" s="408" t="n"/>
      <c r="D155" s="408" t="n"/>
      <c r="E155" s="408" t="n"/>
      <c r="F155" s="407" t="n"/>
      <c r="G155" s="428" t="n">
        <v>4804.9184</v>
      </c>
      <c r="H155" s="389" t="n"/>
      <c r="I155" s="408" t="n"/>
      <c r="J155" s="408" t="n"/>
      <c r="K155" s="407" t="n"/>
      <c r="L155" s="429" t="inlineStr">
        <is>
          <t>Includes confirmed + estimated · Distributor labor not included · Update when fuel filter invoice received</t>
        </is>
      </c>
      <c r="M155" s="408" t="n"/>
      <c r="N155" s="407" t="n"/>
    </row>
    <row r="156" ht="45.75" customHeight="1" s="273"/>
    <row r="157" ht="42.75" customHeight="1" s="273"/>
    <row r="158" ht="108.75" customHeight="1" s="273"/>
    <row r="159" ht="116.25" customHeight="1" s="273">
      <c r="A159" s="390" t="inlineStr">
        <is>
          <t xml:space="preserve">  GORMAN-RUPP RS3A31B PUMP INSPECTION SCHEDULE  (P-101 / P-102 / P-103)</t>
        </is>
      </c>
      <c r="B159" s="408" t="n"/>
      <c r="C159" s="408" t="n"/>
      <c r="D159" s="408" t="n"/>
      <c r="E159" s="408" t="n"/>
      <c r="F159" s="408" t="n"/>
      <c r="G159" s="408" t="n"/>
      <c r="H159" s="408" t="n"/>
      <c r="I159" s="408" t="n"/>
      <c r="J159" s="408" t="n"/>
      <c r="K159" s="407" t="n"/>
    </row>
    <row r="160" ht="234" customHeight="1" s="273">
      <c r="A160" s="384" t="inlineStr">
        <is>
          <t>Pump bearings are factory-sealed grease-packed — NO routine re-greasing interval.  Lubrication only required during overhaul/rebuild (15 oz grease, ~1/3 full).  Motor bearing schedule TBD — obtain motor make/model to confirm intervals.</t>
        </is>
      </c>
      <c r="B160" s="408" t="n"/>
      <c r="C160" s="408" t="n"/>
      <c r="D160" s="408" t="n"/>
      <c r="E160" s="408" t="n"/>
      <c r="F160" s="408" t="n"/>
      <c r="G160" s="408" t="n"/>
      <c r="H160" s="408" t="n"/>
      <c r="I160" s="408" t="n"/>
      <c r="J160" s="408" t="n"/>
      <c r="K160" s="407" t="n"/>
    </row>
    <row r="162" ht="42.75" customHeight="1" s="273">
      <c r="A162" s="360" t="inlineStr">
        <is>
          <t>Task</t>
        </is>
      </c>
      <c r="B162" s="407" t="n"/>
      <c r="C162" s="360" t="inlineStr">
        <is>
          <t>Interval</t>
        </is>
      </c>
      <c r="D162" s="407" t="n"/>
      <c r="E162" s="360" t="inlineStr">
        <is>
          <t>Applies To</t>
        </is>
      </c>
      <c r="F162" s="360" t="inlineStr">
        <is>
          <t>Notes</t>
        </is>
      </c>
      <c r="G162" s="407" t="n"/>
      <c r="H162" s="360" t="inlineStr">
        <is>
          <t>Status</t>
        </is>
      </c>
      <c r="I162" s="360" t="inlineStr">
        <is>
          <t>Last Checked
(enter date)</t>
        </is>
      </c>
      <c r="J162" s="360" t="inlineStr">
        <is>
          <t>What to Look For</t>
        </is>
      </c>
      <c r="K162" s="360" t="inlineStr">
        <is>
          <t>Action if Failed</t>
        </is>
      </c>
    </row>
    <row r="163" ht="74.25" customHeight="1" s="273">
      <c r="A163" s="391" t="inlineStr">
        <is>
          <t>Bearing Housing — Heat Check</t>
        </is>
      </c>
      <c r="B163" s="407" t="n"/>
      <c r="C163" s="393" t="inlineStr">
        <is>
          <t>Daily</t>
        </is>
      </c>
      <c r="D163" s="407" t="n"/>
      <c r="E163" s="430" t="inlineStr">
        <is>
          <t>P-101 / P-102 / P-103</t>
        </is>
      </c>
      <c r="F163" s="397" t="inlineStr">
        <is>
          <t>Touch bearing housing — should not be too hot to hold hand on</t>
        </is>
      </c>
      <c r="G163" s="407" t="n"/>
      <c r="H163" s="431" t="inlineStr">
        <is>
          <t>DAILY</t>
        </is>
      </c>
      <c r="I163" s="393" t="n"/>
      <c r="J163" s="426" t="inlineStr">
        <is>
          <t>Excessive heat = bearing distress</t>
        </is>
      </c>
      <c r="K163" s="432" t="inlineStr">
        <is>
          <t>Shut down, check lubricant level, inspect for contamination</t>
        </is>
      </c>
    </row>
    <row r="164" ht="74.25" customHeight="1" s="273">
      <c r="A164" s="395" t="inlineStr">
        <is>
          <t>Unusual Noise / Vibration</t>
        </is>
      </c>
      <c r="B164" s="407" t="n"/>
      <c r="C164" s="396" t="inlineStr">
        <is>
          <t>Daily</t>
        </is>
      </c>
      <c r="D164" s="407" t="n"/>
      <c r="E164" s="433" t="inlineStr">
        <is>
          <t>P-101 / P-102 / P-103</t>
        </is>
      </c>
      <c r="F164" s="401" t="inlineStr">
        <is>
          <t>Listen and feel during operation — any new grinding, knocking, or vibration</t>
        </is>
      </c>
      <c r="G164" s="407" t="n"/>
      <c r="H164" s="431" t="inlineStr">
        <is>
          <t>DAILY</t>
        </is>
      </c>
      <c r="I164" s="396" t="n"/>
      <c r="J164" s="427" t="inlineStr">
        <is>
          <t>Grinding = bearing wear  |  Knock = impeller damage  |  Vibration = misalignment</t>
        </is>
      </c>
      <c r="K164" s="432" t="inlineStr">
        <is>
          <t>Shut down immediately — do not run with unexplained noise</t>
        </is>
      </c>
    </row>
    <row r="165" ht="63.75" customHeight="1" s="273">
      <c r="A165" s="391" t="inlineStr">
        <is>
          <t>Mechanical Seal — Leakage Check</t>
        </is>
      </c>
      <c r="B165" s="407" t="n"/>
      <c r="C165" s="393" t="inlineStr">
        <is>
          <t>Daily</t>
        </is>
      </c>
      <c r="D165" s="407" t="n"/>
      <c r="E165" s="430" t="inlineStr">
        <is>
          <t>P-101 / P-102 / P-103</t>
        </is>
      </c>
      <c r="F165" s="397" t="inlineStr">
        <is>
          <t>Check seal area for drips or weeping crude oil around shaft</t>
        </is>
      </c>
      <c r="G165" s="407" t="n"/>
      <c r="H165" s="431" t="inlineStr">
        <is>
          <t>DAILY</t>
        </is>
      </c>
      <c r="I165" s="393" t="n"/>
      <c r="J165" s="426" t="inlineStr">
        <is>
          <t>Any dripping or wet staining around shaft seal area</t>
        </is>
      </c>
      <c r="K165" s="426" t="inlineStr">
        <is>
          <t>Minor seepage acceptable; steady drip = seal replacement required</t>
        </is>
      </c>
    </row>
    <row r="166" ht="147.75" customHeight="1" s="273">
      <c r="A166" s="395" t="inlineStr">
        <is>
          <t>Suction/Discharge Connections</t>
        </is>
      </c>
      <c r="B166" s="407" t="n"/>
      <c r="C166" s="396" t="inlineStr">
        <is>
          <t>Daily</t>
        </is>
      </c>
      <c r="D166" s="407" t="n"/>
      <c r="E166" s="433" t="inlineStr">
        <is>
          <t>P-101 / P-102 / P-103</t>
        </is>
      </c>
      <c r="F166" s="401" t="inlineStr">
        <is>
          <t>Visually check all hose connections and piping for tightness and leaks</t>
        </is>
      </c>
      <c r="G166" s="407" t="n"/>
      <c r="H166" s="431" t="inlineStr">
        <is>
          <t>DAILY</t>
        </is>
      </c>
      <c r="I166" s="396" t="n"/>
      <c r="J166" s="427" t="inlineStr">
        <is>
          <t>Wet spots, oil seepage, or loose fittings</t>
        </is>
      </c>
      <c r="K166" s="427" t="inlineStr">
        <is>
          <t>Tighten connections; replace gaskets if leaking</t>
        </is>
      </c>
    </row>
    <row r="167" ht="15" customHeight="1" s="273">
      <c r="A167" s="391" t="inlineStr">
        <is>
          <t>Bearing Housing — Full Inspection</t>
        </is>
      </c>
      <c r="B167" s="407" t="n"/>
      <c r="C167" s="393" t="inlineStr">
        <is>
          <t>Every 250 hrs
(~10 days)</t>
        </is>
      </c>
      <c r="D167" s="407" t="n"/>
      <c r="E167" s="430" t="inlineStr">
        <is>
          <t>P-101 / P-102 / P-103</t>
        </is>
      </c>
      <c r="F167" s="397" t="inlineStr">
        <is>
          <t>Check bearing temp with thermometer — normal range up to ~180°F (82°C)</t>
        </is>
      </c>
      <c r="G167" s="407" t="n"/>
      <c r="H167" s="411" t="inlineStr">
        <is>
          <t>OK</t>
        </is>
      </c>
      <c r="I167" s="393" t="n"/>
      <c r="J167" s="426" t="inlineStr">
        <is>
          <t>Temp &gt;180°F, discoloration, oil/grease leakage from housing</t>
        </is>
      </c>
      <c r="K167" s="426" t="inlineStr">
        <is>
          <t>Disassemble and inspect bearings; replace if discolored or rough</t>
        </is>
      </c>
    </row>
    <row r="168" ht="15" customHeight="1" s="273">
      <c r="A168" s="395" t="inlineStr">
        <is>
          <t>Mechanical Seal — Detailed Inspect</t>
        </is>
      </c>
      <c r="B168" s="407" t="n"/>
      <c r="C168" s="396" t="inlineStr">
        <is>
          <t>Every 250 hrs
(~10 days)</t>
        </is>
      </c>
      <c r="D168" s="407" t="n"/>
      <c r="E168" s="433" t="inlineStr">
        <is>
          <t>P-101 / P-102 / P-103</t>
        </is>
      </c>
      <c r="F168" s="401" t="inlineStr">
        <is>
          <t>Inspect seal face area carefully; check for scoring or wear patterns</t>
        </is>
      </c>
      <c r="G168" s="407" t="n"/>
      <c r="H168" s="411" t="inlineStr">
        <is>
          <t>OK</t>
        </is>
      </c>
      <c r="I168" s="396" t="n"/>
      <c r="J168" s="427" t="inlineStr">
        <is>
          <t>Scoring on shaft, steady leak, or seal face damage</t>
        </is>
      </c>
      <c r="K168" s="427" t="inlineStr">
        <is>
          <t>Replace seal assembly — do not reuse worn seals</t>
        </is>
      </c>
    </row>
    <row r="169" ht="21.75" customHeight="1" s="273">
      <c r="A169" s="391" t="inlineStr">
        <is>
          <t>Impeller / Wear Plate Clearance</t>
        </is>
      </c>
      <c r="B169" s="407" t="n"/>
      <c r="C169" s="393" t="inlineStr">
        <is>
          <t>Every 500 hrs
(~21 days)</t>
        </is>
      </c>
      <c r="D169" s="407" t="n"/>
      <c r="E169" s="430" t="inlineStr">
        <is>
          <t>P-101 / P-102 / P-103</t>
        </is>
      </c>
      <c r="F169" s="397" t="inlineStr">
        <is>
          <t>Check front impeller clearance (wear plate) and rear (seal plate) — manual Sect. B</t>
        </is>
      </c>
      <c r="G169" s="407" t="n"/>
      <c r="H169" s="411" t="inlineStr">
        <is>
          <t>OK</t>
        </is>
      </c>
      <c r="I169" s="393" t="n"/>
      <c r="J169" s="426" t="inlineStr">
        <is>
          <t>Reduced flow/pressure, increased noise, cavitation symptoms</t>
        </is>
      </c>
      <c r="K169" s="426" t="inlineStr">
        <is>
          <t>Adjust impeller clearance or replace wear plate</t>
        </is>
      </c>
    </row>
    <row r="170" ht="18.75" customHeight="1" s="273">
      <c r="A170" s="395" t="inlineStr">
        <is>
          <t>Discharge Check Valve</t>
        </is>
      </c>
      <c r="B170" s="407" t="n"/>
      <c r="C170" s="396" t="inlineStr">
        <is>
          <t>Every 500 hrs
(~21 days)</t>
        </is>
      </c>
      <c r="D170" s="407" t="n"/>
      <c r="E170" s="433" t="inlineStr">
        <is>
          <t>P-101 / P-102 / P-103</t>
        </is>
      </c>
      <c r="F170" s="401" t="inlineStr">
        <is>
          <t>Inspect check valve for wear and proper seating — prevents backflow</t>
        </is>
      </c>
      <c r="G170" s="407" t="n"/>
      <c r="H170" s="411" t="inlineStr">
        <is>
          <t>OK</t>
        </is>
      </c>
      <c r="I170" s="396" t="n"/>
      <c r="J170" s="427" t="inlineStr">
        <is>
          <t>Backflow, loss of prime, or slow pressure buildup on restart</t>
        </is>
      </c>
      <c r="K170" s="427" t="inlineStr">
        <is>
          <t>Replace O-ring and/or check valve assembly</t>
        </is>
      </c>
    </row>
    <row r="171" ht="18.75" customHeight="1" s="273">
      <c r="A171" s="391" t="inlineStr">
        <is>
          <t>Priming Vanes (Group Grind)</t>
        </is>
      </c>
      <c r="B171" s="407" t="n"/>
      <c r="C171" s="393" t="inlineStr">
        <is>
          <t>Every 500 hrs
(~21 days)</t>
        </is>
      </c>
      <c r="D171" s="407" t="n"/>
      <c r="E171" s="430" t="inlineStr">
        <is>
          <t>P-101 / P-102 / P-103</t>
        </is>
      </c>
      <c r="F171" s="397" t="inlineStr">
        <is>
          <t>Inspect rotor blades and slide for wear — pump should prime within 30 sec</t>
        </is>
      </c>
      <c r="G171" s="407" t="n"/>
      <c r="H171" s="411" t="inlineStr">
        <is>
          <t>OK</t>
        </is>
      </c>
      <c r="I171" s="393" t="n"/>
      <c r="J171" s="426" t="inlineStr">
        <is>
          <t>Slow or failed priming, loss of vacuum</t>
        </is>
      </c>
      <c r="K171" s="426" t="inlineStr">
        <is>
          <t>Replace group grind assembly as a complete unit</t>
        </is>
      </c>
    </row>
    <row r="172" ht="15" customHeight="1" s="273">
      <c r="A172" s="395" t="inlineStr">
        <is>
          <t>Strainer Screen</t>
        </is>
      </c>
      <c r="B172" s="408" t="n"/>
      <c r="C172" s="408" t="n"/>
      <c r="D172" s="408" t="n"/>
      <c r="E172" s="408" t="n"/>
      <c r="F172" s="408" t="n"/>
      <c r="G172" s="407" t="n"/>
      <c r="H172" s="411" t="inlineStr">
        <is>
          <t>OK</t>
        </is>
      </c>
      <c r="I172" s="396" t="n"/>
      <c r="J172" s="427" t="inlineStr">
        <is>
          <t>Reduced flow, increased priming time, cavitation</t>
        </is>
      </c>
      <c r="K172" s="427" t="inlineStr">
        <is>
          <t>Clean screen; replace if damaged</t>
        </is>
      </c>
    </row>
    <row r="173" ht="15" customHeight="1" s="273">
      <c r="A173" s="391" t="inlineStr">
        <is>
          <t>Motor Bearing Lubrication</t>
        </is>
      </c>
      <c r="B173" s="407" t="n"/>
      <c r="C173" s="393" t="inlineStr">
        <is>
          <t>TBD — obtain
motor model</t>
        </is>
      </c>
      <c r="D173" s="407" t="n"/>
      <c r="E173" s="430" t="inlineStr">
        <is>
          <t>P-101 / P-102 / P-103</t>
        </is>
      </c>
      <c r="F173" s="397" t="inlineStr">
        <is>
          <t>⚠ Motor make/model unknown — grease interval and fitting location TBD</t>
        </is>
      </c>
      <c r="G173" s="407" t="n"/>
      <c r="H173" s="420" t="inlineStr">
        <is>
          <t>PENDING</t>
        </is>
      </c>
      <c r="I173" s="434" t="n"/>
      <c r="J173" s="426" t="inlineStr">
        <is>
          <t>Motor running hot, noise from motor end, vibration</t>
        </is>
      </c>
      <c r="K173" s="426" t="inlineStr">
        <is>
          <t>Grease per motor manufacturer spec once model confirmed</t>
        </is>
      </c>
    </row>
    <row r="174" ht="18.75" customHeight="1" s="273">
      <c r="A174" s="395" t="inlineStr">
        <is>
          <t>Motor General Inspection</t>
        </is>
      </c>
      <c r="B174" s="407" t="n"/>
      <c r="C174" s="396" t="inlineStr">
        <is>
          <t>Every 250 hrs
(~10 days)</t>
        </is>
      </c>
      <c r="D174" s="407" t="n"/>
      <c r="E174" s="433" t="inlineStr">
        <is>
          <t>P-101 / P-102 / P-103</t>
        </is>
      </c>
      <c r="F174" s="401" t="inlineStr">
        <is>
          <t>Check motor temp, listen for bearing noise, inspect wiring and conduit connections</t>
        </is>
      </c>
      <c r="G174" s="407" t="n"/>
      <c r="H174" s="411" t="inlineStr">
        <is>
          <t>OK</t>
        </is>
      </c>
      <c r="I174" s="396" t="n"/>
      <c r="J174" s="427" t="inlineStr">
        <is>
          <t>Motor overheating, unusual noise, burnt smell, loose wiring</t>
        </is>
      </c>
      <c r="K174" s="432" t="inlineStr">
        <is>
          <t>Shut down; check VFD fault codes on Vacon-100; call motor service</t>
        </is>
      </c>
    </row>
    <row r="175" ht="15" customHeight="1" s="273"/>
    <row r="176" ht="15" customHeight="1" s="273">
      <c r="A176" s="404" t="inlineStr">
        <is>
          <t xml:space="preserve">  PUMP BEARING LUBRICATION NOTE  —  Gorman-Rupp RS3A31B (factory-sealed bearings)</t>
        </is>
      </c>
      <c r="B176" s="408" t="n"/>
      <c r="C176" s="408" t="n"/>
      <c r="D176" s="408" t="n"/>
      <c r="E176" s="408" t="n"/>
      <c r="F176" s="408" t="n"/>
      <c r="G176" s="408" t="n"/>
      <c r="H176" s="408" t="n"/>
      <c r="I176" s="408" t="n"/>
      <c r="J176" s="408" t="n"/>
      <c r="K176" s="407" t="n"/>
    </row>
    <row r="177" ht="18.75" customHeight="1" s="273">
      <c r="A177" s="391" t="inlineStr">
        <is>
          <t>Bearing Housing (grease)</t>
        </is>
      </c>
      <c r="B177" s="407" t="n"/>
      <c r="C177" s="393" t="inlineStr">
        <is>
          <t>Overhaul only
(not scheduled)</t>
        </is>
      </c>
      <c r="D177" s="407" t="n"/>
      <c r="E177" s="435" t="inlineStr">
        <is>
          <t>~15 oz (425g) grease — approximately 1/3 full</t>
        </is>
      </c>
      <c r="F177" s="408" t="n"/>
      <c r="G177" s="407" t="n"/>
      <c r="H177" s="426" t="inlineStr">
        <is>
          <t>Remove air vent fitting, install lube fitting, fill cavity — only required when disassembling bearing housing for rebuild</t>
        </is>
      </c>
      <c r="I177" s="408" t="n"/>
      <c r="J177" s="408" t="n"/>
      <c r="K177" s="407" t="n"/>
    </row>
    <row r="178" ht="15" customHeight="1" s="273">
      <c r="A178" s="395" t="inlineStr">
        <is>
          <t>Rotor Ends (group grind)</t>
        </is>
      </c>
      <c r="B178" s="407" t="n"/>
      <c r="C178" s="396" t="inlineStr">
        <is>
          <t>At disassembly
(not scheduled)</t>
        </is>
      </c>
      <c r="D178" s="407" t="n"/>
      <c r="E178" s="435" t="inlineStr">
        <is>
          <t>Anti-Wear Lubricating &amp; Hydraulic Oil SAE 10
(Energol HLP-HD 32 or equivalent)</t>
        </is>
      </c>
      <c r="F178" s="408" t="n"/>
      <c r="G178" s="407" t="n"/>
      <c r="H178" s="427" t="inlineStr">
        <is>
          <t>Coat both ends of rotor before installation — applied during group grind reassembly only</t>
        </is>
      </c>
      <c r="I178" s="408" t="n"/>
      <c r="J178" s="408" t="n"/>
      <c r="K178" s="407" t="n"/>
    </row>
    <row r="179" ht="54.75" customHeight="1" s="273">
      <c r="A179" s="391" t="inlineStr">
        <is>
          <t>Mechanical Seal O-ring</t>
        </is>
      </c>
      <c r="B179" s="407" t="n"/>
      <c r="C179" s="393" t="inlineStr">
        <is>
          <t>At seal replacement</t>
        </is>
      </c>
      <c r="D179" s="407" t="n"/>
      <c r="E179" s="435" t="inlineStr">
        <is>
          <t>Light coat of oil</t>
        </is>
      </c>
      <c r="F179" s="408" t="n"/>
      <c r="G179" s="407" t="n"/>
      <c r="H179" s="426" t="inlineStr">
        <is>
          <t>Lubricate O-ring during installation only — do not apply grease to seal faces</t>
        </is>
      </c>
      <c r="I179" s="408" t="n"/>
      <c r="J179" s="408" t="n"/>
      <c r="K179" s="407" t="n"/>
    </row>
    <row r="180" ht="45.75" customHeight="1" s="273">
      <c r="A180" s="395" t="inlineStr">
        <is>
          <t>Motor Bearings</t>
        </is>
      </c>
      <c r="B180" s="407" t="n"/>
      <c r="C180" s="420" t="inlineStr">
        <is>
          <t>TBD — obtain
motor model</t>
        </is>
      </c>
      <c r="D180" s="407" t="n"/>
      <c r="E180" s="435" t="inlineStr">
        <is>
          <t>TBD — per motor manufacturer spec</t>
        </is>
      </c>
      <c r="F180" s="408" t="n"/>
      <c r="G180" s="407" t="n"/>
      <c r="H180" s="427" t="inlineStr">
        <is>
          <t>⚠ Motor model unknown — confirm with motor nameplate and obtain service manual for grease type/quantity/interval</t>
        </is>
      </c>
      <c r="I180" s="408" t="n"/>
      <c r="J180" s="408" t="n"/>
      <c r="K180" s="407" t="n"/>
    </row>
    <row r="181" ht="42.75" customHeight="1" s="273"/>
    <row r="188" ht="147.75" customHeight="1" s="273">
      <c r="A188" s="390" t="inlineStr">
        <is>
          <t xml:space="preserve">  NAPA AUTO PARTS — MAINTENANCE PURCHASES LOG  (Modern Auto Truck Parts LLC, 245 E Market St, Cadiz OH)</t>
        </is>
      </c>
      <c r="B188" s="408" t="n"/>
      <c r="C188" s="408" t="n"/>
      <c r="D188" s="408" t="n"/>
      <c r="E188" s="408" t="n"/>
      <c r="F188" s="408" t="n"/>
      <c r="G188" s="408" t="n"/>
      <c r="H188" s="408" t="n"/>
      <c r="I188" s="408" t="n"/>
      <c r="J188" s="408" t="n"/>
      <c r="K188" s="408" t="n"/>
      <c r="L188" s="407" t="n"/>
    </row>
    <row r="189" ht="15" customHeight="1" s="273">
      <c r="A189" s="360" t="inlineStr">
        <is>
          <t>Invoice #</t>
        </is>
      </c>
      <c r="B189" s="360" t="inlineStr">
        <is>
          <t>Date</t>
        </is>
      </c>
      <c r="C189" s="360" t="inlineStr">
        <is>
          <t>Part #</t>
        </is>
      </c>
      <c r="D189" s="360" t="inlineStr">
        <is>
          <t>Description</t>
        </is>
      </c>
      <c r="E189" s="360" t="inlineStr">
        <is>
          <t>Qty</t>
        </is>
      </c>
      <c r="F189" s="360" t="inlineStr">
        <is>
          <t>Unit Price</t>
        </is>
      </c>
      <c r="G189" s="360" t="inlineStr">
        <is>
          <t>Net Price</t>
        </is>
      </c>
      <c r="H189" s="360" t="inlineStr">
        <is>
          <t>Line Total</t>
        </is>
      </c>
      <c r="I189" s="360" t="inlineStr">
        <is>
          <t>Tax</t>
        </is>
      </c>
      <c r="J189" s="360" t="inlineStr">
        <is>
          <t>Inv Total</t>
        </is>
      </c>
      <c r="K189" s="360" t="inlineStr">
        <is>
          <t>Maint. Task</t>
        </is>
      </c>
      <c r="L189" s="360" t="inlineStr">
        <is>
          <t>Notes</t>
        </is>
      </c>
    </row>
    <row r="190" ht="15" customHeight="1" s="273">
      <c r="A190" s="436" t="inlineStr">
        <is>
          <t>506503</t>
        </is>
      </c>
      <c r="B190" s="393" t="inlineStr">
        <is>
          <t>03/04/2026</t>
        </is>
      </c>
      <c r="C190" s="437" t="inlineStr">
        <is>
          <t>8822</t>
        </is>
      </c>
      <c r="D190" s="397" t="inlineStr">
        <is>
          <t>D Earth (Diatomaceous Earth)</t>
        </is>
      </c>
      <c r="E190" s="393" t="n">
        <v>5</v>
      </c>
      <c r="F190" s="438" t="n">
        <v>19.82</v>
      </c>
      <c r="G190" s="438" t="n">
        <v>9.91</v>
      </c>
      <c r="H190" s="439" t="n">
        <v>49.55</v>
      </c>
      <c r="I190" s="438" t="n">
        <v>3.59</v>
      </c>
      <c r="J190" s="439" t="n">
        <v>53.14</v>
      </c>
      <c r="K190" s="397" t="inlineStr">
        <is>
          <t>General Supply</t>
        </is>
      </c>
      <c r="L190" s="426" t="inlineStr">
        <is>
          <t>Spill absorbent — yard use</t>
        </is>
      </c>
    </row>
    <row r="191" ht="21.75" customHeight="1" s="273">
      <c r="A191" s="440" t="inlineStr">
        <is>
          <t>507048</t>
        </is>
      </c>
      <c r="B191" s="396" t="inlineStr">
        <is>
          <t>03/09/2026</t>
        </is>
      </c>
      <c r="C191" s="441" t="inlineStr">
        <is>
          <t>RTU1EXT</t>
        </is>
      </c>
      <c r="D191" s="401" t="inlineStr">
        <is>
          <t>RTU EXT LIFE GAL (Extended Life Coolant)</t>
        </is>
      </c>
      <c r="E191" s="396" t="n">
        <v>4</v>
      </c>
      <c r="F191" s="442" t="n">
        <v>20.66</v>
      </c>
      <c r="G191" s="442" t="n">
        <v>10.33</v>
      </c>
      <c r="H191" s="443" t="n">
        <v>41.32</v>
      </c>
      <c r="I191" s="442" t="n">
        <v>3</v>
      </c>
      <c r="J191" s="443" t="n">
        <v>44.32</v>
      </c>
      <c r="K191" s="444" t="inlineStr">
        <is>
          <t>Coolant Replace / Radiator Flush</t>
        </is>
      </c>
      <c r="L191" s="427" t="inlineStr">
        <is>
          <t>All 3 gens · GM SPEC 6277M compatible</t>
        </is>
      </c>
    </row>
    <row r="192" ht="18.75" customHeight="1" s="273">
      <c r="A192" s="436" t="inlineStr">
        <is>
          <t>507572</t>
        </is>
      </c>
      <c r="B192" s="393" t="inlineStr">
        <is>
          <t>03/12/2026</t>
        </is>
      </c>
      <c r="C192" s="437" t="inlineStr">
        <is>
          <t>1334</t>
        </is>
      </c>
      <c r="D192" s="397" t="inlineStr">
        <is>
          <t>NAPA Gold Oil Filter</t>
        </is>
      </c>
      <c r="E192" s="393" t="n">
        <v>4</v>
      </c>
      <c r="F192" s="438" t="n">
        <v>18.18</v>
      </c>
      <c r="G192" s="438" t="n">
        <v>9.09</v>
      </c>
      <c r="H192" s="439" t="n">
        <v>36.36</v>
      </c>
      <c r="I192" s="445" t="inlineStr">
        <is>
          <t>—</t>
        </is>
      </c>
      <c r="J192" s="445" t="inlineStr">
        <is>
          <t>—</t>
        </is>
      </c>
      <c r="K192" s="444" t="inlineStr">
        <is>
          <t>Oil Filter Replace</t>
        </is>
      </c>
      <c r="L192" s="426" t="inlineStr">
        <is>
          <t>All 3 gens + 1 spare · NAPA cross-ref for Isuzu 8944567412</t>
        </is>
      </c>
    </row>
    <row r="193" ht="18.75" customHeight="1" s="273">
      <c r="A193" s="440" t="inlineStr">
        <is>
          <t>507572</t>
        </is>
      </c>
      <c r="B193" s="396" t="inlineStr">
        <is>
          <t>03/12/2026</t>
        </is>
      </c>
      <c r="C193" s="441" t="inlineStr">
        <is>
          <t>75105</t>
        </is>
      </c>
      <c r="D193" s="401" t="inlineStr">
        <is>
          <t>10W40 Engine Oil 5QT</t>
        </is>
      </c>
      <c r="E193" s="396" t="n">
        <v>4</v>
      </c>
      <c r="F193" s="442" t="n">
        <v>43.58</v>
      </c>
      <c r="G193" s="442" t="n">
        <v>21.79</v>
      </c>
      <c r="H193" s="443" t="n">
        <v>87.16</v>
      </c>
      <c r="I193" s="446" t="inlineStr">
        <is>
          <t>—</t>
        </is>
      </c>
      <c r="J193" s="446" t="inlineStr">
        <is>
          <t>—</t>
        </is>
      </c>
      <c r="K193" s="444" t="inlineStr">
        <is>
          <t>Engine Oil Replace</t>
        </is>
      </c>
      <c r="L193" s="427" t="inlineStr">
        <is>
          <t>All 3 gens · 20qt total · API CJ-4 class · SAE 10W-40</t>
        </is>
      </c>
    </row>
    <row r="194" ht="15" customHeight="1" s="273">
      <c r="A194" s="436" t="inlineStr">
        <is>
          <t>507572</t>
        </is>
      </c>
      <c r="B194" s="393" t="inlineStr">
        <is>
          <t>03/12/2026</t>
        </is>
      </c>
      <c r="C194" s="437" t="inlineStr">
        <is>
          <t>8993240</t>
        </is>
      </c>
      <c r="D194" s="397" t="inlineStr">
        <is>
          <t>Cable Tie Cannister</t>
        </is>
      </c>
      <c r="E194" s="393" t="n">
        <v>1</v>
      </c>
      <c r="F194" s="438" t="n">
        <v>38.26</v>
      </c>
      <c r="G194" s="438" t="n">
        <v>19.13</v>
      </c>
      <c r="H194" s="439" t="n">
        <v>19.13</v>
      </c>
      <c r="I194" s="445" t="inlineStr">
        <is>
          <t>—</t>
        </is>
      </c>
      <c r="J194" s="445" t="inlineStr">
        <is>
          <t>—</t>
        </is>
      </c>
      <c r="K194" s="397" t="inlineStr">
        <is>
          <t>General Supply</t>
        </is>
      </c>
      <c r="L194" s="426" t="inlineStr">
        <is>
          <t>General hardware</t>
        </is>
      </c>
    </row>
    <row r="195" ht="15" customHeight="1" s="273">
      <c r="A195" s="440" t="inlineStr">
        <is>
          <t>507572</t>
        </is>
      </c>
      <c r="B195" s="396" t="inlineStr">
        <is>
          <t>03/12/2026</t>
        </is>
      </c>
      <c r="C195" s="441" t="inlineStr">
        <is>
          <t>P822768</t>
        </is>
      </c>
      <c r="D195" s="401" t="inlineStr">
        <is>
          <t>Donaldson Engine Air Filter</t>
        </is>
      </c>
      <c r="E195" s="396" t="n">
        <v>1</v>
      </c>
      <c r="F195" s="442" t="n">
        <v>110.24</v>
      </c>
      <c r="G195" s="442" t="n">
        <v>55.12</v>
      </c>
      <c r="H195" s="443" t="n">
        <v>55.12</v>
      </c>
      <c r="I195" s="446" t="inlineStr">
        <is>
          <t>—</t>
        </is>
      </c>
      <c r="J195" s="446" t="inlineStr">
        <is>
          <t>—</t>
        </is>
      </c>
      <c r="K195" s="444" t="inlineStr">
        <is>
          <t>Air Filter Replace</t>
        </is>
      </c>
      <c r="L195" s="427" t="inlineStr">
        <is>
          <t>Exact manual part # P822768</t>
        </is>
      </c>
    </row>
    <row r="196" ht="18.75" customHeight="1" s="273">
      <c r="A196" s="436" t="inlineStr">
        <is>
          <t>507572</t>
        </is>
      </c>
      <c r="B196" s="393" t="inlineStr">
        <is>
          <t>03/12/2026</t>
        </is>
      </c>
      <c r="C196" s="437" t="inlineStr">
        <is>
          <t>P822768</t>
        </is>
      </c>
      <c r="D196" s="397" t="inlineStr">
        <is>
          <t>Donaldson Engine Air Filter ×3</t>
        </is>
      </c>
      <c r="E196" s="393" t="n">
        <v>3</v>
      </c>
      <c r="F196" s="438" t="n">
        <v>110.24</v>
      </c>
      <c r="G196" s="438" t="n">
        <v>55.12</v>
      </c>
      <c r="H196" s="439" t="n">
        <v>165.36</v>
      </c>
      <c r="I196" s="445" t="inlineStr">
        <is>
          <t>—</t>
        </is>
      </c>
      <c r="J196" s="445" t="inlineStr">
        <is>
          <t>—</t>
        </is>
      </c>
      <c r="K196" s="444" t="inlineStr">
        <is>
          <t>Air Filter Replace</t>
        </is>
      </c>
      <c r="L196" s="426" t="inlineStr">
        <is>
          <t>All 3 gens + 1 spare · from Carrollton branch</t>
        </is>
      </c>
    </row>
    <row r="197" ht="15" customHeight="1" s="273">
      <c r="A197" s="440" t="inlineStr">
        <is>
          <t>507572</t>
        </is>
      </c>
      <c r="B197" s="396" t="inlineStr">
        <is>
          <t>03/12/2026</t>
        </is>
      </c>
      <c r="C197" s="441" t="inlineStr">
        <is>
          <t>BKMAT1520UM</t>
        </is>
      </c>
      <c r="D197" s="401" t="inlineStr">
        <is>
          <t>New Pig Absorbent (NEWPIG)</t>
        </is>
      </c>
      <c r="E197" s="396" t="n">
        <v>1</v>
      </c>
      <c r="F197" s="442" t="n">
        <v>229.18</v>
      </c>
      <c r="G197" s="442" t="n">
        <v>114.59</v>
      </c>
      <c r="H197" s="443" t="n">
        <v>114.59</v>
      </c>
      <c r="I197" s="446" t="inlineStr">
        <is>
          <t>—</t>
        </is>
      </c>
      <c r="J197" s="446" t="inlineStr">
        <is>
          <t>—</t>
        </is>
      </c>
      <c r="K197" s="401" t="inlineStr">
        <is>
          <t>General Supply</t>
        </is>
      </c>
      <c r="L197" s="427" t="inlineStr">
        <is>
          <t>Spill absorbent mat</t>
        </is>
      </c>
    </row>
    <row r="198" ht="15" customHeight="1" s="273">
      <c r="A198" s="436" t="inlineStr">
        <is>
          <t>507572</t>
        </is>
      </c>
      <c r="B198" s="393" t="inlineStr">
        <is>
          <t>03/12/2026</t>
        </is>
      </c>
      <c r="C198" s="437" t="inlineStr">
        <is>
          <t>BKMAT1520WL</t>
        </is>
      </c>
      <c r="D198" s="397" t="inlineStr">
        <is>
          <t>New Pig Absorbt Pad</t>
        </is>
      </c>
      <c r="E198" s="393" t="n">
        <v>1</v>
      </c>
      <c r="F198" s="438" t="n">
        <v>238.02</v>
      </c>
      <c r="G198" s="438" t="n">
        <v>119.01</v>
      </c>
      <c r="H198" s="439" t="n">
        <v>119.01</v>
      </c>
      <c r="I198" s="445" t="inlineStr">
        <is>
          <t>—</t>
        </is>
      </c>
      <c r="J198" s="445" t="inlineStr">
        <is>
          <t>—</t>
        </is>
      </c>
      <c r="K198" s="397" t="inlineStr">
        <is>
          <t>General Supply</t>
        </is>
      </c>
      <c r="L198" s="426" t="inlineStr">
        <is>
          <t>Spill absorbent pad</t>
        </is>
      </c>
    </row>
    <row r="199" ht="18.75" customHeight="1" s="273">
      <c r="A199" s="440" t="inlineStr">
        <is>
          <t>507572</t>
        </is>
      </c>
      <c r="B199" s="396" t="inlineStr">
        <is>
          <t>03/12/2026</t>
        </is>
      </c>
      <c r="C199" s="441" t="inlineStr">
        <is>
          <t>7750</t>
        </is>
      </c>
      <c r="D199" s="401" t="inlineStr">
        <is>
          <t>SAS Emergency Spill Kit</t>
        </is>
      </c>
      <c r="E199" s="396" t="n">
        <v>1</v>
      </c>
      <c r="F199" s="442" t="n">
        <v>82.45</v>
      </c>
      <c r="G199" s="442" t="n">
        <v>71.98999999999999</v>
      </c>
      <c r="H199" s="443" t="n">
        <v>71.98999999999999</v>
      </c>
      <c r="I199" s="446" t="inlineStr">
        <is>
          <t>—</t>
        </is>
      </c>
      <c r="J199" s="446" t="inlineStr">
        <is>
          <t>—</t>
        </is>
      </c>
      <c r="K199" s="401" t="inlineStr">
        <is>
          <t>General Supply</t>
        </is>
      </c>
      <c r="L199" s="427" t="inlineStr">
        <is>
          <t>Emergency spill response kit · yard safety</t>
        </is>
      </c>
    </row>
    <row r="200" ht="15" customHeight="1" s="273">
      <c r="A200" s="436" t="inlineStr">
        <is>
          <t>507572</t>
        </is>
      </c>
      <c r="B200" s="393" t="inlineStr">
        <is>
          <t>03/12/2026</t>
        </is>
      </c>
      <c r="C200" s="437" t="inlineStr">
        <is>
          <t>—</t>
        </is>
      </c>
      <c r="D200" s="397" t="inlineStr">
        <is>
          <t>TAX (7.25%)</t>
        </is>
      </c>
      <c r="E200" s="393" t="n">
        <v>1</v>
      </c>
      <c r="F200" s="445" t="inlineStr">
        <is>
          <t>—</t>
        </is>
      </c>
      <c r="G200" s="445" t="inlineStr">
        <is>
          <t>—</t>
        </is>
      </c>
      <c r="H200" s="439" t="n">
        <v>48.48</v>
      </c>
      <c r="I200" s="438" t="n">
        <v>48.48</v>
      </c>
      <c r="J200" s="439" t="n">
        <v>717.2</v>
      </c>
      <c r="K200" s="397" t="inlineStr">
        <is>
          <t>—</t>
        </is>
      </c>
      <c r="L200" s="426" t="inlineStr">
        <is>
          <t>Inv#507572 total</t>
        </is>
      </c>
    </row>
    <row r="202" ht="45.75" customHeight="1" s="273">
      <c r="A202" s="403" t="inlineStr">
        <is>
          <t>PENDING</t>
        </is>
      </c>
      <c r="B202" s="408" t="n"/>
      <c r="C202" s="408" t="n"/>
      <c r="D202" s="408" t="n"/>
      <c r="E202" s="408" t="n"/>
      <c r="F202" s="408" t="n"/>
      <c r="G202" s="407" t="n"/>
      <c r="H202" s="403" t="inlineStr">
        <is>
          <t>TBD</t>
        </is>
      </c>
      <c r="I202" s="403" t="inlineStr">
        <is>
          <t>TBD</t>
        </is>
      </c>
      <c r="J202" s="403" t="inlineStr">
        <is>
          <t>TBD</t>
        </is>
      </c>
      <c r="K202" s="444" t="inlineStr">
        <is>
          <t>Fuel Filter Replace (Main &amp; Pre)</t>
        </is>
      </c>
      <c r="L202" s="447" t="inlineStr">
        <is>
          <t>⚠ Invoice pending — add details when available · All 3 gens · NAPA cross-ref for Isuzu 8982402800 (main) + 8982402790 (pre)</t>
        </is>
      </c>
    </row>
    <row r="203" ht="42.75" customHeight="1" s="273">
      <c r="A203" s="404" t="inlineStr">
        <is>
          <t>INVOICE TOTALS</t>
        </is>
      </c>
      <c r="B203" s="408" t="n"/>
      <c r="C203" s="408" t="n"/>
      <c r="D203" s="408" t="n"/>
      <c r="E203" s="408" t="n"/>
      <c r="F203" s="408" t="n"/>
      <c r="G203" s="407" t="n"/>
      <c r="H203" s="411" t="inlineStr">
        <is>
          <t>Inv #506503
03/04: $53.14</t>
        </is>
      </c>
      <c r="I203" s="411" t="inlineStr">
        <is>
          <t>Inv #507048
03/09: $44.32</t>
        </is>
      </c>
      <c r="J203" s="411" t="inlineStr">
        <is>
          <t>Inv #507572
03/12: $717.20</t>
        </is>
      </c>
      <c r="K203" s="314" t="inlineStr">
        <is>
          <t>TOTAL SPEND</t>
        </is>
      </c>
      <c r="L203" s="448" t="n">
        <v>814.66</v>
      </c>
    </row>
  </sheetData>
  <mergeCells count="422">
    <mergeCell ref="A114:K114"/>
    <mergeCell ref="A128:C128"/>
    <mergeCell ref="A64:B64"/>
    <mergeCell ref="F116:G116"/>
    <mergeCell ref="A107:B107"/>
    <mergeCell ref="A133:F133"/>
    <mergeCell ref="G71:H71"/>
    <mergeCell ref="K104:L104"/>
    <mergeCell ref="A21:C21"/>
    <mergeCell ref="F118:G118"/>
    <mergeCell ref="E8:F8"/>
    <mergeCell ref="K35:L35"/>
    <mergeCell ref="A23:C23"/>
    <mergeCell ref="C87:F87"/>
    <mergeCell ref="C121:D121"/>
    <mergeCell ref="K81:L81"/>
    <mergeCell ref="M10:N10"/>
    <mergeCell ref="K99:L99"/>
    <mergeCell ref="C89:F89"/>
    <mergeCell ref="C88:F88"/>
    <mergeCell ref="F121:G121"/>
    <mergeCell ref="C93:F93"/>
    <mergeCell ref="A35:B35"/>
    <mergeCell ref="A62:B62"/>
    <mergeCell ref="K101:L101"/>
    <mergeCell ref="A28:B28"/>
    <mergeCell ref="K28:L28"/>
    <mergeCell ref="A39:B39"/>
    <mergeCell ref="K92:L92"/>
    <mergeCell ref="A30:B30"/>
    <mergeCell ref="K30:L30"/>
    <mergeCell ref="A59:B59"/>
    <mergeCell ref="A118:C118"/>
    <mergeCell ref="G117:H117"/>
    <mergeCell ref="A103:B103"/>
    <mergeCell ref="A61:B61"/>
    <mergeCell ref="G125:H125"/>
    <mergeCell ref="I125:J125"/>
    <mergeCell ref="C83:F83"/>
    <mergeCell ref="K41:L41"/>
    <mergeCell ref="K106:L106"/>
    <mergeCell ref="G127:H127"/>
    <mergeCell ref="I127:J127"/>
    <mergeCell ref="M13:N13"/>
    <mergeCell ref="K56:L56"/>
    <mergeCell ref="K105:L105"/>
    <mergeCell ref="K43:L43"/>
    <mergeCell ref="C123:D123"/>
    <mergeCell ref="M120:N120"/>
    <mergeCell ref="K107:L107"/>
    <mergeCell ref="A24:C24"/>
    <mergeCell ref="H133:K133"/>
    <mergeCell ref="A131:B131"/>
    <mergeCell ref="E16:F16"/>
    <mergeCell ref="A52:B52"/>
    <mergeCell ref="G16:H16"/>
    <mergeCell ref="G76:H76"/>
    <mergeCell ref="C90:F90"/>
    <mergeCell ref="A124:C124"/>
    <mergeCell ref="E18:F18"/>
    <mergeCell ref="A83:B83"/>
    <mergeCell ref="A34:B34"/>
    <mergeCell ref="C76:F76"/>
    <mergeCell ref="K25:L25"/>
    <mergeCell ref="A49:B49"/>
    <mergeCell ref="G11:H11"/>
    <mergeCell ref="A36:B36"/>
    <mergeCell ref="F124:G124"/>
    <mergeCell ref="K54:L54"/>
    <mergeCell ref="K29:L29"/>
    <mergeCell ref="A78:B78"/>
    <mergeCell ref="A65:B65"/>
    <mergeCell ref="K44:L44"/>
    <mergeCell ref="C108:F108"/>
    <mergeCell ref="K31:L31"/>
    <mergeCell ref="A80:B80"/>
    <mergeCell ref="A55:B55"/>
    <mergeCell ref="G87:H87"/>
    <mergeCell ref="G95:H95"/>
    <mergeCell ref="G89:H89"/>
    <mergeCell ref="C109:F109"/>
    <mergeCell ref="K97:L97"/>
    <mergeCell ref="M26:N26"/>
    <mergeCell ref="C84:F84"/>
    <mergeCell ref="I128:J128"/>
    <mergeCell ref="K57:L57"/>
    <mergeCell ref="C131:D131"/>
    <mergeCell ref="F119:G119"/>
    <mergeCell ref="E24:F24"/>
    <mergeCell ref="A60:B60"/>
    <mergeCell ref="E17:F17"/>
    <mergeCell ref="M123:N123"/>
    <mergeCell ref="G17:H17"/>
    <mergeCell ref="G82:H82"/>
    <mergeCell ref="E19:F19"/>
    <mergeCell ref="C117:D117"/>
    <mergeCell ref="G19:H19"/>
    <mergeCell ref="A84:B84"/>
    <mergeCell ref="H134:K134"/>
    <mergeCell ref="K75:L75"/>
    <mergeCell ref="C104:F104"/>
    <mergeCell ref="G83:H83"/>
    <mergeCell ref="A86:B86"/>
    <mergeCell ref="G14:H14"/>
    <mergeCell ref="I14:J14"/>
    <mergeCell ref="K39:L39"/>
    <mergeCell ref="K14:L14"/>
    <mergeCell ref="K70:L70"/>
    <mergeCell ref="C99:F99"/>
    <mergeCell ref="A81:B81"/>
    <mergeCell ref="K103:L103"/>
    <mergeCell ref="M121:N121"/>
    <mergeCell ref="G72:H72"/>
    <mergeCell ref="A9:N9"/>
    <mergeCell ref="H131:K131"/>
    <mergeCell ref="C72:F72"/>
    <mergeCell ref="A70:B70"/>
    <mergeCell ref="I129:J129"/>
    <mergeCell ref="A7:B7"/>
    <mergeCell ref="I25:J25"/>
    <mergeCell ref="C134:D134"/>
    <mergeCell ref="A99:B99"/>
    <mergeCell ref="A74:B74"/>
    <mergeCell ref="M16:N16"/>
    <mergeCell ref="K58:L58"/>
    <mergeCell ref="F122:G122"/>
    <mergeCell ref="K52:L52"/>
    <mergeCell ref="A101:B101"/>
    <mergeCell ref="A76:B76"/>
    <mergeCell ref="G108:H108"/>
    <mergeCell ref="M124:N124"/>
    <mergeCell ref="M18:N18"/>
    <mergeCell ref="C119:D119"/>
    <mergeCell ref="M17:N17"/>
    <mergeCell ref="M126:N126"/>
    <mergeCell ref="G20:H20"/>
    <mergeCell ref="K53:L53"/>
    <mergeCell ref="G91:H91"/>
    <mergeCell ref="I20:J20"/>
    <mergeCell ref="G85:H85"/>
    <mergeCell ref="C105:F105"/>
    <mergeCell ref="A6:L6"/>
    <mergeCell ref="M19:N19"/>
    <mergeCell ref="E22:F22"/>
    <mergeCell ref="G84:H84"/>
    <mergeCell ref="G22:H22"/>
    <mergeCell ref="K78:L78"/>
    <mergeCell ref="G86:H86"/>
    <mergeCell ref="A45:B45"/>
    <mergeCell ref="K80:L80"/>
    <mergeCell ref="A120:C120"/>
    <mergeCell ref="M129:N129"/>
    <mergeCell ref="K55:L55"/>
    <mergeCell ref="K79:L79"/>
    <mergeCell ref="A87:B87"/>
    <mergeCell ref="C96:F96"/>
    <mergeCell ref="A46:B46"/>
    <mergeCell ref="A89:B89"/>
    <mergeCell ref="A105:B105"/>
    <mergeCell ref="C98:F98"/>
    <mergeCell ref="A26:B26"/>
    <mergeCell ref="A71:B71"/>
    <mergeCell ref="G104:H104"/>
    <mergeCell ref="A8:B8"/>
    <mergeCell ref="C8:D8"/>
    <mergeCell ref="A100:B100"/>
    <mergeCell ref="M24:N24"/>
    <mergeCell ref="A10:B10"/>
    <mergeCell ref="K66:L66"/>
    <mergeCell ref="G99:H99"/>
    <mergeCell ref="E131:G131"/>
    <mergeCell ref="A102:B102"/>
    <mergeCell ref="A16:C16"/>
    <mergeCell ref="A77:B77"/>
    <mergeCell ref="K74:L74"/>
    <mergeCell ref="M130:N130"/>
    <mergeCell ref="M117:N117"/>
    <mergeCell ref="C91:F91"/>
    <mergeCell ref="A18:C18"/>
    <mergeCell ref="C82:F82"/>
    <mergeCell ref="M132:N132"/>
    <mergeCell ref="M119:N119"/>
    <mergeCell ref="G132:H132"/>
    <mergeCell ref="G101:H101"/>
    <mergeCell ref="A22:C22"/>
    <mergeCell ref="C86:F86"/>
    <mergeCell ref="I21:J21"/>
    <mergeCell ref="A57:B57"/>
    <mergeCell ref="A113:K113"/>
    <mergeCell ref="I23:J23"/>
    <mergeCell ref="K23:L23"/>
    <mergeCell ref="A96:B96"/>
    <mergeCell ref="C125:D125"/>
    <mergeCell ref="G106:H106"/>
    <mergeCell ref="M122:N122"/>
    <mergeCell ref="K18:L18"/>
    <mergeCell ref="G105:H105"/>
    <mergeCell ref="C70:F70"/>
    <mergeCell ref="K34:L34"/>
    <mergeCell ref="C106:F106"/>
    <mergeCell ref="G120:H120"/>
    <mergeCell ref="I120:J120"/>
    <mergeCell ref="A123:B123"/>
    <mergeCell ref="G107:H107"/>
    <mergeCell ref="K36:L36"/>
    <mergeCell ref="K100:L100"/>
    <mergeCell ref="C101:F101"/>
    <mergeCell ref="A108:B108"/>
    <mergeCell ref="K94:L94"/>
    <mergeCell ref="A17:C17"/>
    <mergeCell ref="K102:L102"/>
    <mergeCell ref="A19:C19"/>
    <mergeCell ref="K77:L77"/>
    <mergeCell ref="C11:D11"/>
    <mergeCell ref="E11:F11"/>
    <mergeCell ref="A47:B47"/>
    <mergeCell ref="C85:F85"/>
    <mergeCell ref="A29:B29"/>
    <mergeCell ref="A134:B134"/>
    <mergeCell ref="A121:B121"/>
    <mergeCell ref="A44:B44"/>
    <mergeCell ref="A31:B31"/>
    <mergeCell ref="K87:L87"/>
    <mergeCell ref="A58:B58"/>
    <mergeCell ref="K49:L49"/>
    <mergeCell ref="A126:G126"/>
    <mergeCell ref="A98:B98"/>
    <mergeCell ref="K24:L24"/>
    <mergeCell ref="A73:B73"/>
    <mergeCell ref="K95:L95"/>
    <mergeCell ref="K89:L89"/>
    <mergeCell ref="F123:G123"/>
    <mergeCell ref="C116:D116"/>
    <mergeCell ref="G97:H97"/>
    <mergeCell ref="I26:J26"/>
    <mergeCell ref="K88:L88"/>
    <mergeCell ref="K26:L26"/>
    <mergeCell ref="C78:F78"/>
    <mergeCell ref="K90:L90"/>
    <mergeCell ref="G128:H128"/>
    <mergeCell ref="C107:F107"/>
    <mergeCell ref="I121:J121"/>
    <mergeCell ref="C79:F79"/>
    <mergeCell ref="C73:F73"/>
    <mergeCell ref="A42:B42"/>
    <mergeCell ref="K42:L42"/>
    <mergeCell ref="I123:J123"/>
    <mergeCell ref="A53:B53"/>
    <mergeCell ref="A109:B109"/>
    <mergeCell ref="H12:L12"/>
    <mergeCell ref="A132:C132"/>
    <mergeCell ref="A117:B117"/>
    <mergeCell ref="K37:L37"/>
    <mergeCell ref="G75:H75"/>
    <mergeCell ref="A69:L69"/>
    <mergeCell ref="E12:F12"/>
    <mergeCell ref="A48:B48"/>
    <mergeCell ref="M118:N118"/>
    <mergeCell ref="E14:F14"/>
    <mergeCell ref="G70:H70"/>
    <mergeCell ref="A79:B79"/>
    <mergeCell ref="K21:L21"/>
    <mergeCell ref="G7:H7"/>
    <mergeCell ref="K63:L63"/>
    <mergeCell ref="A37:B37"/>
    <mergeCell ref="C92:F92"/>
    <mergeCell ref="K96:L96"/>
    <mergeCell ref="A13:C13"/>
    <mergeCell ref="K27:L27"/>
    <mergeCell ref="K98:L98"/>
    <mergeCell ref="G129:H129"/>
    <mergeCell ref="A4:N4"/>
    <mergeCell ref="E25:F25"/>
    <mergeCell ref="A63:B63"/>
    <mergeCell ref="G25:H25"/>
    <mergeCell ref="K93:L93"/>
    <mergeCell ref="K16:L16"/>
    <mergeCell ref="A92:B92"/>
    <mergeCell ref="L133:N133"/>
    <mergeCell ref="I124:J124"/>
    <mergeCell ref="A119:B119"/>
    <mergeCell ref="K45:L45"/>
    <mergeCell ref="A94:B94"/>
    <mergeCell ref="I126:J126"/>
    <mergeCell ref="E20:F20"/>
    <mergeCell ref="M11:N11"/>
    <mergeCell ref="K109:L109"/>
    <mergeCell ref="K47:L47"/>
    <mergeCell ref="E13:F13"/>
    <mergeCell ref="A122:C122"/>
    <mergeCell ref="C127:D127"/>
    <mergeCell ref="G13:H13"/>
    <mergeCell ref="K46:L46"/>
    <mergeCell ref="K40:L40"/>
    <mergeCell ref="G78:H78"/>
    <mergeCell ref="M15:N15"/>
    <mergeCell ref="M12:N12"/>
    <mergeCell ref="G80:H80"/>
    <mergeCell ref="K71:L71"/>
    <mergeCell ref="C100:F100"/>
    <mergeCell ref="C94:F94"/>
    <mergeCell ref="G79:H79"/>
    <mergeCell ref="G73:H73"/>
    <mergeCell ref="A38:B38"/>
    <mergeCell ref="C80:F80"/>
    <mergeCell ref="K73:L73"/>
    <mergeCell ref="C95:F95"/>
    <mergeCell ref="A40:B40"/>
    <mergeCell ref="A67:B67"/>
    <mergeCell ref="H8:L8"/>
    <mergeCell ref="A82:B82"/>
    <mergeCell ref="H10:L10"/>
    <mergeCell ref="A129:C129"/>
    <mergeCell ref="C10:D10"/>
    <mergeCell ref="E10:F10"/>
    <mergeCell ref="A66:B66"/>
    <mergeCell ref="G74:H74"/>
    <mergeCell ref="K59:L59"/>
    <mergeCell ref="G92:H92"/>
    <mergeCell ref="I117:J117"/>
    <mergeCell ref="A95:B95"/>
    <mergeCell ref="K61:L61"/>
    <mergeCell ref="K48:L48"/>
    <mergeCell ref="A97:B97"/>
    <mergeCell ref="A72:B72"/>
    <mergeCell ref="C75:F75"/>
    <mergeCell ref="M125:N125"/>
    <mergeCell ref="A1:L1"/>
    <mergeCell ref="M14:N14"/>
    <mergeCell ref="K62:L62"/>
    <mergeCell ref="E21:F21"/>
    <mergeCell ref="M127:N127"/>
    <mergeCell ref="G21:H21"/>
    <mergeCell ref="G81:H81"/>
    <mergeCell ref="E23:F23"/>
    <mergeCell ref="G23:H23"/>
    <mergeCell ref="A88:B88"/>
    <mergeCell ref="C81:F81"/>
    <mergeCell ref="A54:B54"/>
    <mergeCell ref="I16:J16"/>
    <mergeCell ref="A41:B41"/>
    <mergeCell ref="A90:B90"/>
    <mergeCell ref="K76:L76"/>
    <mergeCell ref="I122:J122"/>
    <mergeCell ref="A56:B56"/>
    <mergeCell ref="G18:H18"/>
    <mergeCell ref="A27:B27"/>
    <mergeCell ref="I18:J18"/>
    <mergeCell ref="M25:N25"/>
    <mergeCell ref="K67:L67"/>
    <mergeCell ref="A85:B85"/>
    <mergeCell ref="G100:H100"/>
    <mergeCell ref="G94:H94"/>
    <mergeCell ref="A115:N115"/>
    <mergeCell ref="G102:H102"/>
    <mergeCell ref="G77:H77"/>
    <mergeCell ref="A11:B11"/>
    <mergeCell ref="A12:C12"/>
    <mergeCell ref="K64:L64"/>
    <mergeCell ref="A14:C14"/>
    <mergeCell ref="K72:L72"/>
    <mergeCell ref="M128:N128"/>
    <mergeCell ref="A3:N3"/>
    <mergeCell ref="M21:N21"/>
    <mergeCell ref="E134:G134"/>
    <mergeCell ref="G24:H24"/>
    <mergeCell ref="I24:J24"/>
    <mergeCell ref="A116:B116"/>
    <mergeCell ref="G88:H88"/>
    <mergeCell ref="I17:J17"/>
    <mergeCell ref="A91:B91"/>
    <mergeCell ref="K17:L17"/>
    <mergeCell ref="K82:L82"/>
    <mergeCell ref="G90:H90"/>
    <mergeCell ref="I19:J19"/>
    <mergeCell ref="A93:B93"/>
    <mergeCell ref="K19:L19"/>
    <mergeCell ref="C71:F71"/>
    <mergeCell ref="A25:C25"/>
    <mergeCell ref="K83:L83"/>
    <mergeCell ref="K60:L60"/>
    <mergeCell ref="A2:L2"/>
    <mergeCell ref="C102:F102"/>
    <mergeCell ref="C77:F77"/>
    <mergeCell ref="A75:B75"/>
    <mergeCell ref="G103:H103"/>
    <mergeCell ref="A20:C20"/>
    <mergeCell ref="A104:B104"/>
    <mergeCell ref="C97:F97"/>
    <mergeCell ref="A112:L112"/>
    <mergeCell ref="A106:B106"/>
    <mergeCell ref="A15:L15"/>
    <mergeCell ref="C7:D7"/>
    <mergeCell ref="E7:F7"/>
    <mergeCell ref="A43:B43"/>
    <mergeCell ref="M23:N23"/>
    <mergeCell ref="A51:L51"/>
    <mergeCell ref="K65:L65"/>
    <mergeCell ref="M131:N131"/>
    <mergeCell ref="G96:H96"/>
    <mergeCell ref="A130:K130"/>
    <mergeCell ref="K108:L108"/>
    <mergeCell ref="G98:H98"/>
    <mergeCell ref="K20:L20"/>
    <mergeCell ref="K91:L91"/>
    <mergeCell ref="M20:N20"/>
    <mergeCell ref="A33:L33"/>
    <mergeCell ref="K85:L85"/>
    <mergeCell ref="G93:H93"/>
    <mergeCell ref="I22:J22"/>
    <mergeCell ref="K84:L84"/>
    <mergeCell ref="K22:L22"/>
    <mergeCell ref="M22:N22"/>
    <mergeCell ref="C74:F74"/>
    <mergeCell ref="K86:L86"/>
    <mergeCell ref="I118:J118"/>
    <mergeCell ref="C103:F103"/>
    <mergeCell ref="A125:B125"/>
    <mergeCell ref="G109:H109"/>
    <mergeCell ref="K38:L38"/>
    <mergeCell ref="I119:J119"/>
    <mergeCell ref="A127:B1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2" customWidth="1" style="272" min="1" max="2"/>
    <col width="10" customWidth="1" style="272" min="3" max="8"/>
    <col width="13" customWidth="1" style="272" min="9" max="9"/>
    <col width="20" customWidth="1" style="272" min="10" max="10"/>
  </cols>
  <sheetData>
    <row r="1" ht="36" customHeight="1" s="273">
      <c r="A1" s="353" t="inlineStr">
        <is>
          <t>|  HERITAGE COOPERATIVE — DIESEL FUEL TRACKER  (Generator Fuel)</t>
        </is>
      </c>
      <c r="B1" s="354" t="n"/>
      <c r="C1" s="354" t="n"/>
      <c r="D1" s="354" t="n"/>
      <c r="E1" s="354" t="n"/>
      <c r="F1" s="354" t="n"/>
      <c r="G1" s="354" t="n"/>
      <c r="H1" s="354" t="n"/>
      <c r="I1" s="354" t="n"/>
      <c r="J1" s="355" t="n"/>
    </row>
    <row r="2" ht="15" customHeight="1" s="273">
      <c r="A2" s="357" t="inlineStr">
        <is>
          <t>Product: Diesel Dyed Premium ULS  ·  Tank: Off-Road Overhead Tank  ·  Supplier: Heritage Cooperative, Inc.  ·  Acct: 9485467</t>
        </is>
      </c>
      <c r="B2" s="354" t="n"/>
      <c r="C2" s="354" t="n"/>
      <c r="D2" s="354" t="n"/>
      <c r="E2" s="354" t="n"/>
      <c r="F2" s="354" t="n"/>
      <c r="G2" s="354" t="n"/>
      <c r="H2" s="354" t="n"/>
      <c r="I2" s="354" t="n"/>
      <c r="J2" s="355" t="n"/>
    </row>
    <row r="3" ht="6" customHeight="1" s="273"/>
    <row r="4" ht="15.75" customHeight="1" s="273">
      <c r="A4" s="449" t="inlineStr">
        <is>
          <t xml:space="preserve">  INVOICE LOG</t>
        </is>
      </c>
      <c r="B4" s="354" t="n"/>
      <c r="C4" s="354" t="n"/>
      <c r="D4" s="354" t="n"/>
      <c r="E4" s="354" t="n"/>
      <c r="F4" s="354" t="n"/>
      <c r="G4" s="354" t="n"/>
      <c r="H4" s="354" t="n"/>
      <c r="I4" s="354" t="n"/>
      <c r="J4" s="355" t="n"/>
    </row>
    <row r="5" ht="27.75" customHeight="1" s="273">
      <c r="A5" s="450" t="inlineStr">
        <is>
          <t>Invoice #</t>
        </is>
      </c>
      <c r="B5" s="450" t="inlineStr">
        <is>
          <t>Invoice Date</t>
        </is>
      </c>
      <c r="C5" s="450" t="inlineStr">
        <is>
          <t>Gallons</t>
        </is>
      </c>
      <c r="D5" s="360" t="inlineStr">
        <is>
          <t>Unit Price
($/gal)</t>
        </is>
      </c>
      <c r="E5" s="450" t="inlineStr">
        <is>
          <t>Fuel Amount</t>
        </is>
      </c>
      <c r="F5" s="450" t="inlineStr">
        <is>
          <t>Taxes &amp; Fees</t>
        </is>
      </c>
      <c r="G5" s="450" t="inlineStr">
        <is>
          <t>Invoice Total</t>
        </is>
      </c>
      <c r="H5" s="360" t="inlineStr">
        <is>
          <t>Days Since
Last Delivery</t>
        </is>
      </c>
      <c r="I5" s="360" t="inlineStr">
        <is>
          <t>Gal/Day
(interval)</t>
        </is>
      </c>
      <c r="J5" s="450" t="inlineStr">
        <is>
          <t>Notes</t>
        </is>
      </c>
    </row>
    <row r="6" ht="13.5" customHeight="1" s="273">
      <c r="A6" s="451" t="inlineStr">
        <is>
          <t>375309</t>
        </is>
      </c>
      <c r="B6" s="451" t="inlineStr">
        <is>
          <t>02/05/26</t>
        </is>
      </c>
      <c r="C6" s="452" t="n">
        <v>469.7</v>
      </c>
      <c r="D6" s="453" t="n">
        <v>2.6965</v>
      </c>
      <c r="E6" s="454" t="n">
        <v>1266.55</v>
      </c>
      <c r="F6" s="454" t="n">
        <v>94.73999999999999</v>
      </c>
      <c r="G6" s="454" t="n">
        <v>1361.29</v>
      </c>
      <c r="H6" s="451" t="inlineStr">
        <is>
          <t>—</t>
        </is>
      </c>
      <c r="I6" s="451" t="inlineStr">
        <is>
          <t>—</t>
        </is>
      </c>
      <c r="J6" s="455" t="n"/>
    </row>
    <row r="7" ht="13.5" customHeight="1" s="273">
      <c r="A7" s="456" t="inlineStr">
        <is>
          <t>378740</t>
        </is>
      </c>
      <c r="B7" s="456" t="inlineStr">
        <is>
          <t>02/16/26</t>
        </is>
      </c>
      <c r="C7" s="457" t="n">
        <v>439.9</v>
      </c>
      <c r="D7" s="458" t="n">
        <v>2.8545</v>
      </c>
      <c r="E7" s="459" t="n">
        <v>1255.7</v>
      </c>
      <c r="F7" s="459" t="n">
        <v>93.43000000000001</v>
      </c>
      <c r="G7" s="459" t="n">
        <v>1349.13</v>
      </c>
      <c r="H7" s="456" t="n">
        <v>11</v>
      </c>
      <c r="I7" s="456" t="n">
        <v>40</v>
      </c>
      <c r="J7" s="460" t="n"/>
    </row>
    <row r="8" ht="13.5" customHeight="1" s="273">
      <c r="A8" s="451" t="inlineStr">
        <is>
          <t>380254</t>
        </is>
      </c>
      <c r="B8" s="451" t="inlineStr">
        <is>
          <t>02/20/26</t>
        </is>
      </c>
      <c r="C8" s="452" t="n">
        <v>189.9</v>
      </c>
      <c r="D8" s="453" t="n">
        <v>3.057</v>
      </c>
      <c r="E8" s="454" t="n">
        <v>580.52</v>
      </c>
      <c r="F8" s="454" t="n">
        <v>42.93</v>
      </c>
      <c r="G8" s="454" t="n">
        <v>623.45</v>
      </c>
      <c r="H8" s="451" t="n">
        <v>4</v>
      </c>
      <c r="I8" s="451" t="n">
        <v>47.5</v>
      </c>
      <c r="J8" s="455" t="n"/>
    </row>
    <row r="9" ht="13.5" customHeight="1" s="273">
      <c r="A9" s="456" t="inlineStr">
        <is>
          <t>382563</t>
        </is>
      </c>
      <c r="B9" s="456" t="inlineStr">
        <is>
          <t>02/27/26</t>
        </is>
      </c>
      <c r="C9" s="457" t="n">
        <v>318.5</v>
      </c>
      <c r="D9" s="458" t="n">
        <v>3.0625</v>
      </c>
      <c r="E9" s="459" t="n">
        <v>975.41</v>
      </c>
      <c r="F9" s="459" t="n">
        <v>72.12</v>
      </c>
      <c r="G9" s="459" t="n">
        <v>1047.53</v>
      </c>
      <c r="H9" s="456" t="n">
        <v>7</v>
      </c>
      <c r="I9" s="456" t="n">
        <v>45.5</v>
      </c>
      <c r="J9" s="460" t="n"/>
    </row>
    <row r="10" ht="13.5" customHeight="1" s="273">
      <c r="A10" s="451" t="inlineStr">
        <is>
          <t>383557</t>
        </is>
      </c>
      <c r="B10" s="451" t="inlineStr">
        <is>
          <t>03/05/26</t>
        </is>
      </c>
      <c r="C10" s="452" t="n">
        <v>303.8</v>
      </c>
      <c r="D10" s="453" t="n">
        <v>3.4814</v>
      </c>
      <c r="E10" s="454" t="n">
        <v>1057.65</v>
      </c>
      <c r="F10" s="454" t="n">
        <v>77.38</v>
      </c>
      <c r="G10" s="454" t="n">
        <v>1135.03</v>
      </c>
      <c r="H10" s="451" t="n">
        <v>6</v>
      </c>
      <c r="I10" s="451" t="n">
        <v>50.6</v>
      </c>
      <c r="J10" s="455" t="n"/>
    </row>
    <row r="11" ht="15.75" customHeight="1" s="273">
      <c r="A11" s="461" t="inlineStr">
        <is>
          <t>TOTALS / AVERAGES</t>
        </is>
      </c>
      <c r="B11" s="355" t="n"/>
      <c r="C11" s="462" t="n">
        <v>1721.8</v>
      </c>
      <c r="D11" s="463" t="n">
        <v>2.9828</v>
      </c>
      <c r="E11" s="464" t="n">
        <v>5135.83</v>
      </c>
      <c r="F11" s="464" t="n">
        <v>380.6</v>
      </c>
      <c r="G11" s="464" t="n">
        <v>5516.43</v>
      </c>
      <c r="H11" s="461" t="inlineStr">
        <is>
          <t>28 days</t>
        </is>
      </c>
      <c r="I11" s="461" t="n"/>
      <c r="J11" s="461" t="n"/>
    </row>
    <row r="12" ht="7.5" customHeight="1" s="273"/>
    <row r="13" ht="15.75" customHeight="1" s="273">
      <c r="A13" s="449" t="inlineStr">
        <is>
          <t xml:space="preserve">  FUEL RUN RATE  (based on 28-day actuals: Feb 5 – Mar 5, 2026)</t>
        </is>
      </c>
      <c r="B13" s="354" t="n"/>
      <c r="C13" s="354" t="n"/>
      <c r="D13" s="354" t="n"/>
      <c r="E13" s="354" t="n"/>
      <c r="F13" s="354" t="n"/>
      <c r="G13" s="354" t="n"/>
      <c r="H13" s="354" t="n"/>
      <c r="I13" s="354" t="n"/>
      <c r="J13" s="355" t="n"/>
    </row>
    <row r="14" ht="15.75" customHeight="1" s="273">
      <c r="A14" s="450" t="inlineStr">
        <is>
          <t>Period</t>
        </is>
      </c>
      <c r="B14" s="450" t="inlineStr">
        <is>
          <t>Gallons</t>
        </is>
      </c>
      <c r="C14" s="450" t="inlineStr">
        <is>
          <t>Cost (w/ taxes)</t>
        </is>
      </c>
      <c r="D14" s="450" t="inlineStr">
        <is>
          <t>Fuel Only</t>
        </is>
      </c>
      <c r="E14" s="450" t="inlineStr">
        <is>
          <t>$/Gal Used</t>
        </is>
      </c>
      <c r="F14" s="450" t="inlineStr">
        <is>
          <t>Notes</t>
        </is>
      </c>
    </row>
    <row r="15" ht="13.5" customHeight="1" s="273">
      <c r="A15" s="455" t="inlineStr">
        <is>
          <t>Per Day</t>
        </is>
      </c>
      <c r="B15" s="452" t="n">
        <v>61.5</v>
      </c>
      <c r="C15" s="454" t="n">
        <v>197.02</v>
      </c>
      <c r="D15" s="454" t="n">
        <v>183.42</v>
      </c>
      <c r="E15" s="453" t="n">
        <v>2.9828</v>
      </c>
      <c r="F15" s="455" t="inlineStr">
        <is>
          <t>Avg over 28-day window</t>
        </is>
      </c>
    </row>
    <row r="16" ht="13.5" customHeight="1" s="273">
      <c r="A16" s="460" t="inlineStr">
        <is>
          <t>Per Week</t>
        </is>
      </c>
      <c r="B16" s="457" t="n">
        <v>430.4</v>
      </c>
      <c r="C16" s="459" t="n">
        <v>1379.11</v>
      </c>
      <c r="D16" s="459" t="n">
        <v>1283.96</v>
      </c>
      <c r="E16" s="458" t="n">
        <v>2.9828</v>
      </c>
      <c r="F16" s="460" t="inlineStr">
        <is>
          <t>× 7 days</t>
        </is>
      </c>
    </row>
    <row r="17" ht="13.5" customHeight="1" s="273">
      <c r="A17" s="465" t="inlineStr">
        <is>
          <t>Per Month</t>
        </is>
      </c>
      <c r="B17" s="466" t="n">
        <v>1871.8</v>
      </c>
      <c r="C17" s="467" t="n">
        <v>5997.15</v>
      </c>
      <c r="D17" s="467" t="n">
        <v>5583.38</v>
      </c>
      <c r="E17" s="468" t="n">
        <v>2.9828</v>
      </c>
      <c r="F17" s="465" t="inlineStr">
        <is>
          <t>× 30.44 days</t>
        </is>
      </c>
    </row>
    <row r="18" ht="7.5" customHeight="1" s="273"/>
    <row r="19" ht="15.75" customHeight="1" s="273">
      <c r="A19" s="449" t="inlineStr">
        <is>
          <t xml:space="preserve">  PRICE TREND  —  Unit Price Per Gallon (fuel only, excl. taxes)</t>
        </is>
      </c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5" t="n"/>
    </row>
    <row r="20" ht="15.75" customHeight="1" s="273">
      <c r="A20" s="450" t="inlineStr">
        <is>
          <t>Invoice Date</t>
        </is>
      </c>
      <c r="B20" s="450" t="inlineStr">
        <is>
          <t>Invoice #</t>
        </is>
      </c>
      <c r="C20" s="450" t="inlineStr">
        <is>
          <t>$/Gal</t>
        </is>
      </c>
      <c r="D20" s="450" t="inlineStr">
        <is>
          <t>Change vs Prior</t>
        </is>
      </c>
      <c r="E20" s="450" t="inlineStr">
        <is>
          <t>Trend</t>
        </is>
      </c>
    </row>
    <row r="21" ht="13.5" customHeight="1" s="273">
      <c r="A21" s="451" t="inlineStr">
        <is>
          <t>02/05/26</t>
        </is>
      </c>
      <c r="B21" s="451" t="inlineStr">
        <is>
          <t>375309</t>
        </is>
      </c>
      <c r="C21" s="469" t="n">
        <v>2.6965</v>
      </c>
      <c r="D21" s="451" t="inlineStr">
        <is>
          <t>—</t>
        </is>
      </c>
      <c r="E21" s="470" t="inlineStr">
        <is>
          <t>—</t>
        </is>
      </c>
    </row>
    <row r="22" ht="13.5" customHeight="1" s="273">
      <c r="A22" s="456" t="inlineStr">
        <is>
          <t>02/16/26</t>
        </is>
      </c>
      <c r="B22" s="456" t="inlineStr">
        <is>
          <t>378740</t>
        </is>
      </c>
      <c r="C22" s="471" t="n">
        <v>2.8545</v>
      </c>
      <c r="D22" s="472" t="inlineStr">
        <is>
          <t>+$0.1580</t>
        </is>
      </c>
      <c r="E22" s="473" t="inlineStr">
        <is>
          <t>↑</t>
        </is>
      </c>
    </row>
    <row r="23" ht="13.5" customHeight="1" s="273">
      <c r="A23" s="451" t="inlineStr">
        <is>
          <t>02/20/26</t>
        </is>
      </c>
      <c r="B23" s="451" t="inlineStr">
        <is>
          <t>380254</t>
        </is>
      </c>
      <c r="C23" s="469" t="n">
        <v>3.057</v>
      </c>
      <c r="D23" s="472" t="inlineStr">
        <is>
          <t>+$0.2025</t>
        </is>
      </c>
      <c r="E23" s="473" t="inlineStr">
        <is>
          <t>↑</t>
        </is>
      </c>
    </row>
    <row r="24" ht="13.5" customHeight="1" s="273">
      <c r="A24" s="456" t="inlineStr">
        <is>
          <t>02/27/26</t>
        </is>
      </c>
      <c r="B24" s="456" t="inlineStr">
        <is>
          <t>382563</t>
        </is>
      </c>
      <c r="C24" s="471" t="n">
        <v>3.0625</v>
      </c>
      <c r="D24" s="472" t="inlineStr">
        <is>
          <t>+$0.0055</t>
        </is>
      </c>
      <c r="E24" s="473" t="inlineStr">
        <is>
          <t>↑</t>
        </is>
      </c>
    </row>
    <row r="25" ht="13.5" customHeight="1" s="273">
      <c r="A25" s="451" t="inlineStr">
        <is>
          <t>03/05/26</t>
        </is>
      </c>
      <c r="B25" s="451" t="inlineStr">
        <is>
          <t>383557</t>
        </is>
      </c>
      <c r="C25" s="469" t="n">
        <v>3.4814</v>
      </c>
      <c r="D25" s="472" t="inlineStr">
        <is>
          <t>+$0.4189</t>
        </is>
      </c>
      <c r="E25" s="473" t="inlineStr">
        <is>
          <t>↑</t>
        </is>
      </c>
    </row>
    <row r="26" ht="7.5" customHeight="1" s="273"/>
    <row r="27" ht="15.75" customHeight="1" s="273">
      <c r="A27" s="474" t="inlineStr">
        <is>
          <t xml:space="preserve">  FORWARD PROJECTION  —  At Most Recent Price ($3.4814/gal)</t>
        </is>
      </c>
      <c r="B27" s="354" t="n"/>
      <c r="C27" s="354" t="n"/>
      <c r="D27" s="354" t="n"/>
      <c r="E27" s="354" t="n"/>
      <c r="F27" s="354" t="n"/>
      <c r="G27" s="354" t="n"/>
      <c r="H27" s="354" t="n"/>
      <c r="I27" s="354" t="n"/>
      <c r="J27" s="355" t="n"/>
    </row>
    <row r="28" ht="15.75" customHeight="1" s="273">
      <c r="A28" s="475" t="inlineStr">
        <is>
          <t>Period</t>
        </is>
      </c>
      <c r="B28" s="475" t="inlineStr">
        <is>
          <t>Est. Gallons</t>
        </is>
      </c>
      <c r="C28" s="475" t="inlineStr">
        <is>
          <t>Est. Cost (fuel)</t>
        </is>
      </c>
      <c r="D28" s="475" t="inlineStr">
        <is>
          <t>Est. Cost (w/ taxes ~6.8%)</t>
        </is>
      </c>
      <c r="E28" s="475" t="inlineStr">
        <is>
          <t>Notes</t>
        </is>
      </c>
    </row>
    <row r="29" ht="13.5" customHeight="1" s="273">
      <c r="A29" s="455" t="inlineStr">
        <is>
          <t>Per Day</t>
        </is>
      </c>
      <c r="B29" s="452" t="n">
        <v>61.5</v>
      </c>
      <c r="C29" s="454" t="n">
        <v>214.11</v>
      </c>
      <c r="D29" s="454" t="n">
        <v>228.67</v>
      </c>
      <c r="E29" s="455" t="inlineStr">
        <is>
          <t>Using 28-day avg consumption rate</t>
        </is>
      </c>
    </row>
    <row r="30" ht="13.5" customHeight="1" s="273">
      <c r="A30" s="460" t="inlineStr">
        <is>
          <t>Per Week</t>
        </is>
      </c>
      <c r="B30" s="457" t="n">
        <v>430.4</v>
      </c>
      <c r="C30" s="459" t="n">
        <v>1498.39</v>
      </c>
      <c r="D30" s="459" t="n">
        <v>1600.29</v>
      </c>
      <c r="E30" s="460" t="n"/>
    </row>
    <row r="31" ht="13.5" customHeight="1" s="273">
      <c r="A31" s="465" t="inlineStr">
        <is>
          <t>Per Month</t>
        </is>
      </c>
      <c r="B31" s="466" t="n">
        <v>1871.8</v>
      </c>
      <c r="C31" s="467" t="n">
        <v>6516.48</v>
      </c>
      <c r="D31" s="467" t="n">
        <v>6959.61</v>
      </c>
      <c r="E31" s="465" t="n"/>
    </row>
    <row r="32" ht="7.5" customHeight="1" s="273"/>
    <row r="33" ht="15.75" customHeight="1" s="273">
      <c r="A33" s="449" t="inlineStr">
        <is>
          <t xml:space="preserve">  PER GENERATOR BREAKDOWN  (3 generators running 24 hrs/day)</t>
        </is>
      </c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5" t="n"/>
    </row>
    <row r="34" ht="15.75" customHeight="1" s="273">
      <c r="A34" s="450" t="n"/>
      <c r="B34" s="450" t="inlineStr">
        <is>
          <t>Gal/Hr</t>
        </is>
      </c>
      <c r="C34" s="450" t="inlineStr">
        <is>
          <t>Gal/Day</t>
        </is>
      </c>
      <c r="D34" s="450" t="inlineStr">
        <is>
          <t>Gal/Week</t>
        </is>
      </c>
      <c r="E34" s="450" t="inlineStr">
        <is>
          <t>Gal/Month</t>
        </is>
      </c>
      <c r="F34" s="450" t="inlineStr">
        <is>
          <t>Cost/Day</t>
        </is>
      </c>
      <c r="G34" s="450" t="inlineStr">
        <is>
          <t>Cost/Week</t>
        </is>
      </c>
      <c r="H34" s="450" t="inlineStr">
        <is>
          <t>Cost/Month</t>
        </is>
      </c>
      <c r="I34" s="450" t="inlineStr">
        <is>
          <t>Price Used</t>
        </is>
      </c>
      <c r="J34" s="450" t="n"/>
    </row>
    <row r="35" ht="13.5" customHeight="1" s="273">
      <c r="A35" s="476" t="inlineStr">
        <is>
          <t>All 3 Combined</t>
        </is>
      </c>
      <c r="B35" s="477" t="n">
        <v>2.563</v>
      </c>
      <c r="C35" s="478" t="n">
        <v>61.5</v>
      </c>
      <c r="D35" s="478" t="n">
        <v>430.4</v>
      </c>
      <c r="E35" s="478" t="n">
        <v>1871.8</v>
      </c>
      <c r="F35" s="479" t="n">
        <v>197.02</v>
      </c>
      <c r="G35" s="479" t="n">
        <v>1379.11</v>
      </c>
      <c r="H35" s="479" t="n">
        <v>5997.15</v>
      </c>
      <c r="I35" s="480" t="inlineStr">
        <is>
          <t>Avg $2.9828</t>
        </is>
      </c>
      <c r="J35" s="480" t="n"/>
    </row>
    <row r="36" ht="13.5" customHeight="1" s="273">
      <c r="A36" s="460" t="inlineStr">
        <is>
          <t>Per Generator</t>
        </is>
      </c>
      <c r="B36" s="481" t="n">
        <v>0.854</v>
      </c>
      <c r="C36" s="457" t="n">
        <v>20.5</v>
      </c>
      <c r="D36" s="457" t="n">
        <v>143.5</v>
      </c>
      <c r="E36" s="457" t="n">
        <v>624</v>
      </c>
      <c r="F36" s="459" t="n">
        <v>65.67</v>
      </c>
      <c r="G36" s="459" t="n">
        <v>459.7</v>
      </c>
      <c r="H36" s="459" t="n">
        <v>1999.05</v>
      </c>
      <c r="I36" s="456" t="inlineStr">
        <is>
          <t>Avg $2.9828</t>
        </is>
      </c>
      <c r="J36" s="456" t="n"/>
    </row>
    <row r="37" ht="13.5" customHeight="1" s="273">
      <c r="A37" s="455" t="inlineStr">
        <is>
          <t>Per Gen (curr)</t>
        </is>
      </c>
      <c r="B37" s="482" t="n">
        <v>0.854</v>
      </c>
      <c r="C37" s="452" t="n">
        <v>20.5</v>
      </c>
      <c r="D37" s="452" t="n">
        <v>143.5</v>
      </c>
      <c r="E37" s="452" t="n">
        <v>624</v>
      </c>
      <c r="F37" s="454" t="n">
        <v>71.37</v>
      </c>
      <c r="G37" s="454" t="n">
        <v>499.62</v>
      </c>
      <c r="H37" s="454" t="n">
        <v>2172.21</v>
      </c>
      <c r="I37" s="451" t="inlineStr">
        <is>
          <t>Curr $3.4814</t>
        </is>
      </c>
      <c r="J37" s="451" t="n"/>
    </row>
  </sheetData>
  <mergeCells count="8">
    <mergeCell ref="A1:J1"/>
    <mergeCell ref="A27:J27"/>
    <mergeCell ref="A11:B11"/>
    <mergeCell ref="A4:J4"/>
    <mergeCell ref="A19:J19"/>
    <mergeCell ref="A2:J2"/>
    <mergeCell ref="A13:J13"/>
    <mergeCell ref="A33:J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2" customWidth="1" style="272" min="1" max="1"/>
    <col width="8" customWidth="1" style="272" min="2" max="2"/>
    <col width="9" customWidth="1" style="272" min="3" max="10"/>
    <col width="12" customWidth="1" style="272" min="11" max="13"/>
  </cols>
  <sheetData>
    <row r="1" ht="36" customHeight="1" s="273">
      <c r="A1" s="483" t="inlineStr">
        <is>
          <t>|  PUMP REVENUE EFFICIENCY  —  Cadiz Terminal</t>
        </is>
      </c>
      <c r="B1" s="354" t="n"/>
      <c r="C1" s="354" t="n"/>
      <c r="D1" s="354" t="n"/>
      <c r="E1" s="354" t="n"/>
      <c r="F1" s="354" t="n"/>
      <c r="G1" s="354" t="n"/>
      <c r="H1" s="354" t="n"/>
      <c r="I1" s="354" t="n"/>
      <c r="J1" s="354" t="n"/>
      <c r="K1" s="354" t="n"/>
      <c r="L1" s="354" t="n"/>
      <c r="M1" s="354" t="n"/>
    </row>
    <row r="2" ht="15.75" customHeight="1" s="273">
      <c r="A2" s="484" t="inlineStr">
        <is>
          <t>Utilization (Adjusted) = pump runtime ÷ true available hours  ·  True Available Hrs = (24 hrs − 3 hrs railroad switch) × active pumps  ·  Truck Gap = available hrs not pumping (trucks not onsite)  ·  Est. Revenue Lost = truck gap hrs × avg rev/pump hr</t>
        </is>
      </c>
      <c r="B2" s="354" t="n"/>
      <c r="C2" s="354" t="n"/>
      <c r="D2" s="354" t="n"/>
      <c r="E2" s="354" t="n"/>
      <c r="F2" s="354" t="n"/>
      <c r="G2" s="354" t="n"/>
      <c r="H2" s="354" t="n"/>
      <c r="I2" s="354" t="n"/>
      <c r="J2" s="354" t="n"/>
      <c r="K2" s="354" t="n"/>
      <c r="L2" s="354" t="n"/>
      <c r="M2" s="354" t="n"/>
    </row>
    <row r="3" ht="6" customHeight="1" s="273"/>
    <row r="4" ht="15.75" customHeight="1" s="273">
      <c r="A4" s="485" t="inlineStr">
        <is>
          <t xml:space="preserve">  MONTHLY EFFICIENCY BREAKDOWN</t>
        </is>
      </c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  <c r="K4" s="354" t="n"/>
      <c r="L4" s="354" t="n"/>
      <c r="M4" s="354" t="n"/>
    </row>
    <row r="5" ht="27.75" customHeight="1" s="273">
      <c r="A5" s="360" t="inlineStr">
        <is>
          <t>Month</t>
        </is>
      </c>
      <c r="B5" s="360" t="inlineStr">
        <is>
          <t>Active
Pumps</t>
        </is>
      </c>
      <c r="C5" s="486" t="inlineStr">
        <is>
          <t>HOURS</t>
        </is>
      </c>
      <c r="D5" s="354" t="n"/>
      <c r="E5" s="354" t="n"/>
      <c r="F5" s="486" t="inlineStr">
        <is>
          <t>UTILIZATION</t>
        </is>
      </c>
      <c r="G5" s="354" t="n"/>
      <c r="H5" s="486" t="inlineStr">
        <is>
          <t>REVENUE EFFICIENCY</t>
        </is>
      </c>
      <c r="I5" s="354" t="n"/>
      <c r="J5" s="360" t="inlineStr">
        <is>
          <t>Bbls /
Pump Hr</t>
        </is>
      </c>
      <c r="K5" s="486" t="inlineStr">
        <is>
          <t>EST. REVENUE LOST
(Truck Gaps)</t>
        </is>
      </c>
      <c r="L5" s="354" t="n"/>
      <c r="M5" s="360" t="inlineStr">
        <is>
          <t>Notes</t>
        </is>
      </c>
    </row>
    <row r="6" ht="30" customHeight="1" s="273">
      <c r="A6" s="360" t="inlineStr">
        <is>
          <t>Month</t>
        </is>
      </c>
      <c r="B6" s="360" t="inlineStr">
        <is>
          <t>Active
Pumps</t>
        </is>
      </c>
      <c r="C6" s="360" t="inlineStr">
        <is>
          <t>Pump
Runtime Hrs</t>
        </is>
      </c>
      <c r="D6" s="360" t="inlineStr">
        <is>
          <t>Switch
Downtime Hrs</t>
        </is>
      </c>
      <c r="E6" s="360" t="inlineStr">
        <is>
          <t>True Avail
Hrs</t>
        </is>
      </c>
      <c r="F6" s="360" t="inlineStr">
        <is>
          <t>Gross Util %
(÷ 24hr)</t>
        </is>
      </c>
      <c r="G6" s="360" t="inlineStr">
        <is>
          <t>Adj Util %
(÷ 21hr avail)</t>
        </is>
      </c>
      <c r="H6" s="360" t="inlineStr">
        <is>
          <t>Rev /
Pump Hr</t>
        </is>
      </c>
      <c r="I6" s="360" t="inlineStr">
        <is>
          <t>Rev /
Avail Hr</t>
        </is>
      </c>
      <c r="J6" s="360" t="inlineStr">
        <is>
          <t>Bbls /
Pump Hr</t>
        </is>
      </c>
      <c r="K6" s="360" t="inlineStr">
        <is>
          <t>Truck Gap
Hrs</t>
        </is>
      </c>
      <c r="L6" s="360" t="inlineStr">
        <is>
          <t>Est Rev
Lost ($)</t>
        </is>
      </c>
    </row>
    <row r="7" ht="15" customHeight="1" s="273">
      <c r="A7" s="395" t="inlineStr">
        <is>
          <t>Apr 2025</t>
        </is>
      </c>
      <c r="B7" s="396" t="n">
        <v>1</v>
      </c>
      <c r="C7" s="487" t="n">
        <v>0</v>
      </c>
      <c r="D7" s="487" t="n">
        <v>93</v>
      </c>
      <c r="E7" s="487" t="n">
        <v>93</v>
      </c>
      <c r="F7" s="396" t="inlineStr">
        <is>
          <t>—</t>
        </is>
      </c>
      <c r="G7" s="396" t="inlineStr">
        <is>
          <t>—</t>
        </is>
      </c>
      <c r="H7" s="446" t="inlineStr">
        <is>
          <t>—</t>
        </is>
      </c>
      <c r="I7" s="446" t="inlineStr">
        <is>
          <t>—</t>
        </is>
      </c>
      <c r="J7" s="487" t="inlineStr">
        <is>
          <t>—</t>
        </is>
      </c>
      <c r="K7" s="487" t="n">
        <v>93</v>
      </c>
      <c r="L7" s="396" t="inlineStr">
        <is>
          <t>—</t>
        </is>
      </c>
      <c r="M7" s="427" t="inlineStr">
        <is>
          <t>* Pump data incomplete for Apr</t>
        </is>
      </c>
    </row>
    <row r="8" ht="15" customHeight="1" s="273">
      <c r="A8" s="391" t="inlineStr">
        <is>
          <t>May 2025</t>
        </is>
      </c>
      <c r="B8" s="393" t="n">
        <v>1</v>
      </c>
      <c r="C8" s="488" t="n">
        <v>4.2</v>
      </c>
      <c r="D8" s="488" t="n">
        <v>93</v>
      </c>
      <c r="E8" s="488" t="n">
        <v>651</v>
      </c>
      <c r="F8" s="288" t="n">
        <v>0.006</v>
      </c>
      <c r="G8" s="288" t="n">
        <v>0.006</v>
      </c>
      <c r="H8" s="445" t="inlineStr">
        <is>
          <t>—</t>
        </is>
      </c>
      <c r="I8" s="445" t="inlineStr">
        <is>
          <t>—</t>
        </is>
      </c>
      <c r="J8" s="488" t="inlineStr">
        <is>
          <t>—</t>
        </is>
      </c>
      <c r="K8" s="488" t="n">
        <v>646.8</v>
      </c>
      <c r="L8" s="393" t="inlineStr">
        <is>
          <t>—</t>
        </is>
      </c>
      <c r="M8" s="426" t="inlineStr">
        <is>
          <t>* Outlier — revenue logged but minimal pump hrs</t>
        </is>
      </c>
    </row>
    <row r="9" ht="15" customHeight="1" s="273">
      <c r="A9" s="395" t="inlineStr">
        <is>
          <t>Jun 2025</t>
        </is>
      </c>
      <c r="B9" s="396" t="n">
        <v>1</v>
      </c>
      <c r="C9" s="487" t="n">
        <v>0</v>
      </c>
      <c r="D9" s="487" t="n">
        <v>90</v>
      </c>
      <c r="E9" s="487" t="n">
        <v>630</v>
      </c>
      <c r="F9" s="396" t="inlineStr">
        <is>
          <t>—</t>
        </is>
      </c>
      <c r="G9" s="396" t="inlineStr">
        <is>
          <t>—</t>
        </is>
      </c>
      <c r="H9" s="446" t="inlineStr">
        <is>
          <t>—</t>
        </is>
      </c>
      <c r="I9" s="446" t="inlineStr">
        <is>
          <t>—</t>
        </is>
      </c>
      <c r="J9" s="487" t="inlineStr">
        <is>
          <t>—</t>
        </is>
      </c>
      <c r="K9" s="487" t="n">
        <v>630</v>
      </c>
      <c r="L9" s="396" t="inlineStr">
        <is>
          <t>—</t>
        </is>
      </c>
      <c r="M9" s="427" t="inlineStr">
        <is>
          <t>* No pump data logged for Jun</t>
        </is>
      </c>
    </row>
    <row r="10" ht="15" customHeight="1" s="273">
      <c r="A10" s="391" t="inlineStr">
        <is>
          <t>Jul 2025</t>
        </is>
      </c>
      <c r="B10" s="393" t="n">
        <v>2</v>
      </c>
      <c r="C10" s="488" t="n">
        <v>353.2</v>
      </c>
      <c r="D10" s="488" t="n">
        <v>93</v>
      </c>
      <c r="E10" s="488" t="n">
        <v>1302</v>
      </c>
      <c r="F10" s="296" t="n">
        <v>0.271</v>
      </c>
      <c r="G10" s="296" t="n">
        <v>0.271</v>
      </c>
      <c r="H10" s="438" t="n">
        <v>659.62</v>
      </c>
      <c r="I10" s="438" t="n">
        <v>178.96</v>
      </c>
      <c r="J10" s="488" t="n">
        <v>480.8</v>
      </c>
      <c r="K10" s="488" t="n">
        <v>948.8</v>
      </c>
      <c r="L10" s="489" t="n">
        <v>625814</v>
      </c>
      <c r="M10" s="426" t="n"/>
    </row>
    <row r="11" ht="15" customHeight="1" s="273">
      <c r="A11" s="395" t="inlineStr">
        <is>
          <t>Aug 2025</t>
        </is>
      </c>
      <c r="B11" s="396" t="n">
        <v>2</v>
      </c>
      <c r="C11" s="487" t="n">
        <v>729.8</v>
      </c>
      <c r="D11" s="487" t="n">
        <v>93</v>
      </c>
      <c r="E11" s="487" t="n">
        <v>1302</v>
      </c>
      <c r="F11" s="366" t="n">
        <v>0.49</v>
      </c>
      <c r="G11" s="366" t="n">
        <v>0.5600000000000001</v>
      </c>
      <c r="H11" s="442" t="n">
        <v>389.2</v>
      </c>
      <c r="I11" s="442" t="n">
        <v>218.14</v>
      </c>
      <c r="J11" s="487" t="n">
        <v>401.1</v>
      </c>
      <c r="K11" s="487" t="n">
        <v>572.2</v>
      </c>
      <c r="L11" s="489" t="n">
        <v>222720</v>
      </c>
      <c r="M11" s="427" t="inlineStr">
        <is>
          <t>Peak month — best utilization</t>
        </is>
      </c>
    </row>
    <row r="12" ht="15" customHeight="1" s="273">
      <c r="A12" s="391" t="inlineStr">
        <is>
          <t>Sep 2025</t>
        </is>
      </c>
      <c r="B12" s="393" t="n">
        <v>2</v>
      </c>
      <c r="C12" s="488" t="n">
        <v>576.8</v>
      </c>
      <c r="D12" s="488" t="n">
        <v>90</v>
      </c>
      <c r="E12" s="488" t="n">
        <v>1260</v>
      </c>
      <c r="F12" s="366" t="n">
        <v>0.401</v>
      </c>
      <c r="G12" s="366" t="n">
        <v>0.458</v>
      </c>
      <c r="H12" s="438" t="n">
        <v>598.8200000000001</v>
      </c>
      <c r="I12" s="438" t="n">
        <v>274.11</v>
      </c>
      <c r="J12" s="488" t="n">
        <v>418.7</v>
      </c>
      <c r="K12" s="488" t="n">
        <v>683.2</v>
      </c>
      <c r="L12" s="489" t="n">
        <v>409134</v>
      </c>
      <c r="M12" s="426" t="n"/>
    </row>
    <row r="13" ht="15" customHeight="1" s="273">
      <c r="A13" s="395" t="inlineStr">
        <is>
          <t>Oct 2025</t>
        </is>
      </c>
      <c r="B13" s="396" t="n">
        <v>2</v>
      </c>
      <c r="C13" s="487" t="n">
        <v>517</v>
      </c>
      <c r="D13" s="487" t="n">
        <v>93</v>
      </c>
      <c r="E13" s="487" t="n">
        <v>1302</v>
      </c>
      <c r="F13" s="296" t="n">
        <v>0.347</v>
      </c>
      <c r="G13" s="296" t="n">
        <v>0.397</v>
      </c>
      <c r="H13" s="442" t="n">
        <v>448.53</v>
      </c>
      <c r="I13" s="442" t="n">
        <v>178.1</v>
      </c>
      <c r="J13" s="487" t="n">
        <v>426.6</v>
      </c>
      <c r="K13" s="487" t="n">
        <v>785</v>
      </c>
      <c r="L13" s="489" t="n">
        <v>352096</v>
      </c>
      <c r="M13" s="427" t="n"/>
    </row>
    <row r="14" ht="15" customHeight="1" s="273">
      <c r="A14" s="391" t="inlineStr">
        <is>
          <t>Nov 2025</t>
        </is>
      </c>
      <c r="B14" s="393" t="n">
        <v>2</v>
      </c>
      <c r="C14" s="488" t="n">
        <v>414.4</v>
      </c>
      <c r="D14" s="488" t="n">
        <v>90</v>
      </c>
      <c r="E14" s="488" t="n">
        <v>1260</v>
      </c>
      <c r="F14" s="296" t="n">
        <v>0.288</v>
      </c>
      <c r="G14" s="296" t="n">
        <v>0.329</v>
      </c>
      <c r="H14" s="438" t="n">
        <v>528.7</v>
      </c>
      <c r="I14" s="438" t="n">
        <v>173.88</v>
      </c>
      <c r="J14" s="488" t="n">
        <v>425.9</v>
      </c>
      <c r="K14" s="488" t="n">
        <v>845.6</v>
      </c>
      <c r="L14" s="489" t="n">
        <v>447078</v>
      </c>
      <c r="M14" s="426" t="n"/>
    </row>
    <row r="15" ht="15" customHeight="1" s="273">
      <c r="A15" s="395" t="inlineStr">
        <is>
          <t>Dec 2025</t>
        </is>
      </c>
      <c r="B15" s="396" t="n">
        <v>2</v>
      </c>
      <c r="C15" s="487" t="n">
        <v>434.1</v>
      </c>
      <c r="D15" s="487" t="n">
        <v>93</v>
      </c>
      <c r="E15" s="487" t="n">
        <v>1302</v>
      </c>
      <c r="F15" s="296" t="n">
        <v>0.292</v>
      </c>
      <c r="G15" s="296" t="n">
        <v>0.333</v>
      </c>
      <c r="H15" s="442" t="n">
        <v>611.41</v>
      </c>
      <c r="I15" s="442" t="n">
        <v>203.85</v>
      </c>
      <c r="J15" s="487" t="n">
        <v>451.1</v>
      </c>
      <c r="K15" s="487" t="n">
        <v>867.9</v>
      </c>
      <c r="L15" s="489" t="n">
        <v>530643</v>
      </c>
      <c r="M15" s="427" t="inlineStr">
        <is>
          <t>Cost anomaly: $671k payroll reversal</t>
        </is>
      </c>
    </row>
    <row r="16" ht="15" customHeight="1" s="273">
      <c r="A16" s="391" t="inlineStr">
        <is>
          <t>Jan 2026</t>
        </is>
      </c>
      <c r="B16" s="393" t="n">
        <v>3</v>
      </c>
      <c r="C16" s="488" t="n">
        <v>615.4</v>
      </c>
      <c r="D16" s="488" t="n">
        <v>93</v>
      </c>
      <c r="E16" s="488" t="n">
        <v>1953</v>
      </c>
      <c r="F16" s="296" t="n">
        <v>0.276</v>
      </c>
      <c r="G16" s="296" t="n">
        <v>0.315</v>
      </c>
      <c r="H16" s="438" t="n">
        <v>500.31</v>
      </c>
      <c r="I16" s="438" t="n">
        <v>157.66</v>
      </c>
      <c r="J16" s="488" t="n">
        <v>500.5</v>
      </c>
      <c r="K16" s="488" t="n">
        <v>1337.6</v>
      </c>
      <c r="L16" s="489" t="n">
        <v>669198</v>
      </c>
      <c r="M16" s="426" t="inlineStr">
        <is>
          <t>P-103 commissioned — avail hrs increase</t>
        </is>
      </c>
    </row>
    <row r="17" ht="15" customHeight="1" s="273">
      <c r="A17" s="395" t="inlineStr">
        <is>
          <t>Feb 2026</t>
        </is>
      </c>
      <c r="B17" s="396" t="n">
        <v>3</v>
      </c>
      <c r="C17" s="487" t="n">
        <v>775.2</v>
      </c>
      <c r="D17" s="487" t="n">
        <v>84</v>
      </c>
      <c r="E17" s="487" t="n">
        <v>1764</v>
      </c>
      <c r="F17" s="296" t="n">
        <v>0.385</v>
      </c>
      <c r="G17" s="366" t="n">
        <v>0.439</v>
      </c>
      <c r="H17" s="442" t="n">
        <v>444.72</v>
      </c>
      <c r="I17" s="442" t="n">
        <v>195.44</v>
      </c>
      <c r="J17" s="487" t="n">
        <v>404.5</v>
      </c>
      <c r="K17" s="487" t="n">
        <v>988.8</v>
      </c>
      <c r="L17" s="489" t="n">
        <v>439724</v>
      </c>
      <c r="M17" s="427" t="n"/>
    </row>
    <row r="18" ht="15" customHeight="1" s="273">
      <c r="A18" s="391" t="inlineStr">
        <is>
          <t>Mar 2026†</t>
        </is>
      </c>
      <c r="B18" s="393" t="n">
        <v>3</v>
      </c>
      <c r="C18" s="488" t="n">
        <v>391.5</v>
      </c>
      <c r="D18" s="488" t="n">
        <v>93</v>
      </c>
      <c r="E18" s="488" t="n">
        <v>1953</v>
      </c>
      <c r="F18" s="288" t="n">
        <v>0.175</v>
      </c>
      <c r="G18" s="288" t="n">
        <v>0.2</v>
      </c>
      <c r="H18" s="438" t="n">
        <v>928.45</v>
      </c>
      <c r="I18" s="438" t="n">
        <v>186.11</v>
      </c>
      <c r="J18" s="488" t="n">
        <v>842</v>
      </c>
      <c r="K18" s="488" t="n">
        <v>1561.5</v>
      </c>
      <c r="L18" s="393" t="inlineStr">
        <is>
          <t>—</t>
        </is>
      </c>
      <c r="M18" s="426" t="inlineStr">
        <is>
          <t>* Partial month thru Mar 16 — est rev lost n/a</t>
        </is>
      </c>
    </row>
    <row r="19" ht="7.5" customHeight="1" s="273"/>
    <row r="20" ht="15.75" customHeight="1" s="273">
      <c r="A20" s="404" t="inlineStr">
        <is>
          <t>AVG (Jul 25–Feb 26)</t>
        </is>
      </c>
      <c r="B20" s="355" t="n"/>
      <c r="C20" s="490" t="n">
        <v>585.2</v>
      </c>
      <c r="D20" s="490" t="n">
        <v>91.90000000000001</v>
      </c>
      <c r="E20" s="490" t="n">
        <v>1460.9</v>
      </c>
      <c r="F20" s="313" t="n">
        <v>0.344</v>
      </c>
      <c r="G20" s="313" t="n">
        <v>0.388</v>
      </c>
      <c r="H20" s="491" t="n">
        <v>522.66</v>
      </c>
      <c r="I20" s="491" t="n">
        <v>197.52</v>
      </c>
      <c r="J20" s="490" t="n">
        <v>438.7</v>
      </c>
      <c r="K20" s="490" t="n">
        <v>878.4</v>
      </c>
      <c r="L20" s="492" t="n">
        <v>3696407</v>
      </c>
      <c r="M20" s="314" t="inlineStr">
        <is>
          <t>Total est. revenue opportunity (truck gap hrs) Jul 25–Feb 26</t>
        </is>
      </c>
    </row>
    <row r="21" ht="7.5" customHeight="1" s="273"/>
    <row r="22" ht="15.75" customHeight="1" s="273">
      <c r="A22" s="485" t="inlineStr">
        <is>
          <t xml:space="preserve">  KEY INSIGHTS</t>
        </is>
      </c>
      <c r="B22" s="354" t="n"/>
      <c r="C22" s="354" t="n"/>
      <c r="D22" s="354" t="n"/>
      <c r="E22" s="354" t="n"/>
      <c r="F22" s="354" t="n"/>
      <c r="G22" s="354" t="n"/>
      <c r="H22" s="354" t="n"/>
      <c r="I22" s="354" t="n"/>
      <c r="J22" s="354" t="n"/>
      <c r="K22" s="354" t="n"/>
      <c r="L22" s="354" t="n"/>
      <c r="M22" s="354" t="n"/>
    </row>
    <row r="23" ht="15.75" customHeight="1" s="273">
      <c r="A23" s="360" t="inlineStr">
        <is>
          <t>Metric</t>
        </is>
      </c>
      <c r="B23" s="360" t="inlineStr">
        <is>
          <t>Value</t>
        </is>
      </c>
      <c r="C23" s="493" t="inlineStr">
        <is>
          <t>Interpretation</t>
        </is>
      </c>
      <c r="D23" s="354" t="n"/>
      <c r="E23" s="354" t="n"/>
      <c r="F23" s="354" t="n"/>
      <c r="G23" s="354" t="n"/>
      <c r="H23" s="354" t="n"/>
      <c r="I23" s="354" t="n"/>
      <c r="J23" s="354" t="n"/>
      <c r="K23" s="354" t="n"/>
      <c r="L23" s="354" t="n"/>
      <c r="M23" s="354" t="n"/>
    </row>
    <row r="24" ht="18" customHeight="1" s="273">
      <c r="A24" s="391" t="inlineStr">
        <is>
          <t>Adjusted Utilization</t>
        </is>
      </c>
      <c r="B24" s="411" t="inlineStr">
        <is>
          <t>38.8% avg</t>
        </is>
      </c>
      <c r="C24" s="494" t="inlineStr">
        <is>
          <t>Pumps were actively running 38.8% of true available time (21 hrs/day). 61.2% = trucks not onsite.</t>
        </is>
      </c>
      <c r="D24" s="354" t="n"/>
      <c r="E24" s="354" t="n"/>
      <c r="F24" s="354" t="n"/>
      <c r="G24" s="354" t="n"/>
      <c r="H24" s="354" t="n"/>
      <c r="I24" s="354" t="n"/>
      <c r="J24" s="354" t="n"/>
      <c r="K24" s="354" t="n"/>
      <c r="L24" s="354" t="n"/>
      <c r="M24" s="354" t="n"/>
    </row>
    <row r="25" ht="18" customHeight="1" s="273">
      <c r="A25" s="395" t="inlineStr">
        <is>
          <t>Revenue / Pump Hr</t>
        </is>
      </c>
      <c r="B25" s="411" t="inlineStr">
        <is>
          <t>$522.66 avg</t>
        </is>
      </c>
      <c r="C25" s="495" t="inlineStr">
        <is>
          <t>Every hour the pumps are running generates ~$523 in revenue. This is your core value-per-hour metric.</t>
        </is>
      </c>
      <c r="D25" s="354" t="n"/>
      <c r="E25" s="354" t="n"/>
      <c r="F25" s="354" t="n"/>
      <c r="G25" s="354" t="n"/>
      <c r="H25" s="354" t="n"/>
      <c r="I25" s="354" t="n"/>
      <c r="J25" s="354" t="n"/>
      <c r="K25" s="354" t="n"/>
      <c r="L25" s="354" t="n"/>
      <c r="M25" s="354" t="n"/>
    </row>
    <row r="26" ht="18" customHeight="1" s="273">
      <c r="A26" s="391" t="inlineStr">
        <is>
          <t>Revenue / Avail Hr</t>
        </is>
      </c>
      <c r="B26" s="411" t="inlineStr">
        <is>
          <t>$197.52 avg</t>
        </is>
      </c>
      <c r="C26" s="494" t="inlineStr">
        <is>
          <t>Revenue earned per available hour (incl. idle). Increasing truck volume directly raises this number.</t>
        </is>
      </c>
      <c r="D26" s="354" t="n"/>
      <c r="E26" s="354" t="n"/>
      <c r="F26" s="354" t="n"/>
      <c r="G26" s="354" t="n"/>
      <c r="H26" s="354" t="n"/>
      <c r="I26" s="354" t="n"/>
      <c r="J26" s="354" t="n"/>
      <c r="K26" s="354" t="n"/>
      <c r="L26" s="354" t="n"/>
      <c r="M26" s="354" t="n"/>
    </row>
    <row r="27" ht="18" customHeight="1" s="273">
      <c r="A27" s="395" t="inlineStr">
        <is>
          <t>Bbls / Pump Hr</t>
        </is>
      </c>
      <c r="B27" s="411" t="inlineStr">
        <is>
          <t>438.7 avg</t>
        </is>
      </c>
      <c r="C27" s="495" t="inlineStr">
        <is>
          <t>Average throughput rate when pumping. Relatively stable — efficiency gain comes from more pump hours, not faster pumping.</t>
        </is>
      </c>
      <c r="D27" s="354" t="n"/>
      <c r="E27" s="354" t="n"/>
      <c r="F27" s="354" t="n"/>
      <c r="G27" s="354" t="n"/>
      <c r="H27" s="354" t="n"/>
      <c r="I27" s="354" t="n"/>
      <c r="J27" s="354" t="n"/>
      <c r="K27" s="354" t="n"/>
      <c r="L27" s="354" t="n"/>
      <c r="M27" s="354" t="n"/>
    </row>
    <row r="28" ht="18" customHeight="1" s="273">
      <c r="A28" s="391" t="inlineStr">
        <is>
          <t>Est. Revenue Opportunity</t>
        </is>
      </c>
      <c r="B28" s="411" t="inlineStr">
        <is>
          <t>$3.7M (8 mo)</t>
        </is>
      </c>
      <c r="C28" s="494" t="inlineStr">
        <is>
          <t>Estimated revenue represented by truck gap hours Jul 25–Feb 26. More trucks onsite = direct revenue uplift.</t>
        </is>
      </c>
      <c r="D28" s="354" t="n"/>
      <c r="E28" s="354" t="n"/>
      <c r="F28" s="354" t="n"/>
      <c r="G28" s="354" t="n"/>
      <c r="H28" s="354" t="n"/>
      <c r="I28" s="354" t="n"/>
      <c r="J28" s="354" t="n"/>
      <c r="K28" s="354" t="n"/>
      <c r="L28" s="354" t="n"/>
      <c r="M28" s="354" t="n"/>
    </row>
    <row r="29" ht="18" customHeight="1" s="273">
      <c r="A29" s="395" t="inlineStr">
        <is>
          <t>Railroad Switch</t>
        </is>
      </c>
      <c r="B29" s="411" t="inlineStr">
        <is>
          <t>3 hrs/day</t>
        </is>
      </c>
      <c r="C29" s="495" t="inlineStr">
        <is>
          <t>3 hrs/day (93 hrs/month) is unavoidable structural downtime. Excluded from adjusted utilization denominator.</t>
        </is>
      </c>
      <c r="D29" s="354" t="n"/>
      <c r="E29" s="354" t="n"/>
      <c r="F29" s="354" t="n"/>
      <c r="G29" s="354" t="n"/>
      <c r="H29" s="354" t="n"/>
      <c r="I29" s="354" t="n"/>
      <c r="J29" s="354" t="n"/>
      <c r="K29" s="354" t="n"/>
      <c r="L29" s="354" t="n"/>
      <c r="M29" s="354" t="n"/>
    </row>
    <row r="30" ht="7.5" customHeight="1" s="273"/>
    <row r="31" ht="7.5" customHeight="1" s="273"/>
    <row r="32" ht="15.75" customHeight="1" s="273">
      <c r="A32" s="485" t="inlineStr">
        <is>
          <t xml:space="preserve">  CAPACITY ANALYSIS  —  Maximum Throughput vs Actual Performance</t>
        </is>
      </c>
      <c r="B32" s="354" t="n"/>
      <c r="C32" s="354" t="n"/>
      <c r="D32" s="354" t="n"/>
      <c r="E32" s="354" t="n"/>
      <c r="F32" s="354" t="n"/>
      <c r="G32" s="354" t="n"/>
      <c r="H32" s="354" t="n"/>
      <c r="I32" s="354" t="n"/>
      <c r="J32" s="354" t="n"/>
      <c r="K32" s="354" t="n"/>
      <c r="L32" s="354" t="n"/>
      <c r="M32" s="354" t="n"/>
    </row>
    <row r="33" ht="19.5" customHeight="1" s="273">
      <c r="A33" s="484" t="inlineStr">
        <is>
          <t>Theoretical Max = 3 pumps × 21 available hrs/day (24 hrs − 3 hr railroad switch) ÷ 34.8 min effective cycle time  (28.7 min avg pump time + 5 min setup/breakdown + 1.1 min split load overhead weighted at 24% frequency)</t>
        </is>
      </c>
      <c r="B33" s="354" t="n"/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</row>
    <row r="34" ht="6" customHeight="1" s="273"/>
    <row r="35" ht="15.75" customHeight="1" s="273">
      <c r="A35" s="485" t="inlineStr">
        <is>
          <t xml:space="preserve">  LOAD CYCLE TIME BUILD-UP  —  Per Complete Truck Load</t>
        </is>
      </c>
      <c r="B35" s="354" t="n"/>
      <c r="C35" s="354" t="n"/>
      <c r="D35" s="354" t="n"/>
      <c r="E35" s="354" t="n"/>
      <c r="F35" s="354" t="n"/>
      <c r="G35" s="354" t="n"/>
      <c r="H35" s="354" t="n"/>
      <c r="I35" s="354" t="n"/>
      <c r="J35" s="354" t="n"/>
      <c r="K35" s="354" t="n"/>
      <c r="L35" s="354" t="n"/>
      <c r="M35" s="354" t="n"/>
    </row>
    <row r="36" ht="15.75" customHeight="1" s="273">
      <c r="A36" s="493" t="inlineStr">
        <is>
          <t>Component</t>
        </is>
      </c>
      <c r="B36" s="354" t="n"/>
      <c r="C36" s="354" t="n"/>
      <c r="D36" s="354" t="n"/>
      <c r="E36" s="354" t="n"/>
      <c r="F36" s="354" t="n"/>
      <c r="G36" s="360" t="inlineStr">
        <is>
          <t>Mins</t>
        </is>
      </c>
      <c r="H36" s="486" t="inlineStr">
        <is>
          <t>Notes</t>
        </is>
      </c>
      <c r="I36" s="354" t="n"/>
      <c r="J36" s="354" t="n"/>
      <c r="K36" s="354" t="n"/>
      <c r="L36" s="354" t="n"/>
      <c r="M36" s="354" t="n"/>
    </row>
    <row r="37" ht="15" customHeight="1" s="273">
      <c r="A37" s="496" t="inlineStr">
        <is>
          <t>Straight Load — Avg Pump Time</t>
        </is>
      </c>
      <c r="B37" s="354" t="n"/>
      <c r="C37" s="354" t="n"/>
      <c r="D37" s="354" t="n"/>
      <c r="E37" s="354" t="n"/>
      <c r="F37" s="354" t="n"/>
      <c r="G37" s="396" t="n">
        <v>28.7</v>
      </c>
      <c r="H37" s="496" t="inlineStr">
        <is>
          <t>Actual pump runtime from load log — straight loads only (excl. split rows)</t>
        </is>
      </c>
      <c r="I37" s="354" t="n"/>
      <c r="J37" s="354" t="n"/>
      <c r="K37" s="354" t="n"/>
      <c r="L37" s="354" t="n"/>
      <c r="M37" s="354" t="n"/>
    </row>
    <row r="38" ht="15" customHeight="1" s="273">
      <c r="A38" s="497" t="inlineStr">
        <is>
          <t>Split Load — Avg Pump Time</t>
        </is>
      </c>
      <c r="B38" s="354" t="n"/>
      <c r="C38" s="354" t="n"/>
      <c r="D38" s="354" t="n"/>
      <c r="E38" s="354" t="n"/>
      <c r="F38" s="354" t="n"/>
      <c r="G38" s="393" t="n">
        <v>33</v>
      </c>
      <c r="H38" s="497" t="inlineStr">
        <is>
          <t>Pump time for combined Split #1 + Split #2 rows — includes railcar changeover</t>
        </is>
      </c>
      <c r="I38" s="354" t="n"/>
      <c r="J38" s="354" t="n"/>
      <c r="K38" s="354" t="n"/>
      <c r="L38" s="354" t="n"/>
      <c r="M38" s="354" t="n"/>
    </row>
    <row r="39" ht="15" customHeight="1" s="273">
      <c r="A39" s="496" t="inlineStr">
        <is>
          <t xml:space="preserve">  Split overhead vs straight</t>
        </is>
      </c>
      <c r="B39" s="354" t="n"/>
      <c r="C39" s="354" t="n"/>
      <c r="D39" s="354" t="n"/>
      <c r="E39" s="354" t="n"/>
      <c r="F39" s="354" t="n"/>
      <c r="G39" s="396" t="n">
        <v>4.3</v>
      </c>
      <c r="H39" s="496" t="inlineStr">
        <is>
          <t>Extra time per split: railcar shutoff · truck/pump reposition · reconnect · restart</t>
        </is>
      </c>
      <c r="I39" s="354" t="n"/>
      <c r="J39" s="354" t="n"/>
      <c r="K39" s="354" t="n"/>
      <c r="L39" s="354" t="n"/>
      <c r="M39" s="354" t="n"/>
    </row>
    <row r="40" ht="15" customHeight="1" s="273">
      <c r="A40" s="497" t="inlineStr">
        <is>
          <t>Split Load Frequency</t>
        </is>
      </c>
      <c r="B40" s="354" t="n"/>
      <c r="C40" s="354" t="n"/>
      <c r="D40" s="354" t="n"/>
      <c r="E40" s="354" t="n"/>
      <c r="F40" s="354" t="n"/>
      <c r="G40" s="393" t="inlineStr">
        <is>
          <t>24%</t>
        </is>
      </c>
      <c r="H40" s="497" t="inlineStr">
        <is>
          <t>24% of all truck loads result in a split (railcar fills mid-load)</t>
        </is>
      </c>
      <c r="I40" s="354" t="n"/>
      <c r="J40" s="354" t="n"/>
      <c r="K40" s="354" t="n"/>
      <c r="L40" s="354" t="n"/>
      <c r="M40" s="354" t="n"/>
    </row>
    <row r="41" ht="15" customHeight="1" s="273">
      <c r="A41" s="496" t="inlineStr">
        <is>
          <t>Weighted Avg Pump Time</t>
        </is>
      </c>
      <c r="B41" s="354" t="n"/>
      <c r="C41" s="354" t="n"/>
      <c r="D41" s="354" t="n"/>
      <c r="E41" s="354" t="n"/>
      <c r="F41" s="354" t="n"/>
      <c r="G41" s="396" t="n">
        <v>29.8</v>
      </c>
      <c r="H41" s="496" t="inlineStr">
        <is>
          <t>76% × 28.7 min + 24% × 33.0 min</t>
        </is>
      </c>
      <c r="I41" s="354" t="n"/>
      <c r="J41" s="354" t="n"/>
      <c r="K41" s="354" t="n"/>
      <c r="L41" s="354" t="n"/>
      <c r="M41" s="354" t="n"/>
    </row>
    <row r="42" ht="15" customHeight="1" s="273">
      <c r="A42" s="497" t="inlineStr">
        <is>
          <t>Setup &amp; Breakdown (per load)</t>
        </is>
      </c>
      <c r="B42" s="354" t="n"/>
      <c r="C42" s="354" t="n"/>
      <c r="D42" s="354" t="n"/>
      <c r="E42" s="354" t="n"/>
      <c r="F42" s="354" t="n"/>
      <c r="G42" s="393" t="n">
        <v>5</v>
      </c>
      <c r="H42" s="497" t="inlineStr">
        <is>
          <t>Hose disconnect · driver ticket · next truck pull-up · hose connect · valve verify · Multiload entry · pump start</t>
        </is>
      </c>
      <c r="I42" s="354" t="n"/>
      <c r="J42" s="354" t="n"/>
      <c r="K42" s="354" t="n"/>
      <c r="L42" s="354" t="n"/>
      <c r="M42" s="354" t="n"/>
    </row>
    <row r="43" ht="15" customHeight="1" s="273">
      <c r="A43" s="498" t="inlineStr">
        <is>
          <t>EFFECTIVE CYCLE TIME PER LOAD</t>
        </is>
      </c>
      <c r="B43" s="354" t="n"/>
      <c r="C43" s="354" t="n"/>
      <c r="D43" s="354" t="n"/>
      <c r="E43" s="354" t="n"/>
      <c r="F43" s="354" t="n"/>
      <c r="G43" s="499" t="n">
        <v>34.8</v>
      </c>
      <c r="H43" s="500" t="inlineStr">
        <is>
          <t>Weighted pump time + setup — this is the real constraint on max capacity</t>
        </is>
      </c>
      <c r="I43" s="354" t="n"/>
      <c r="J43" s="354" t="n"/>
      <c r="K43" s="354" t="n"/>
      <c r="L43" s="354" t="n"/>
      <c r="M43" s="354" t="n"/>
    </row>
    <row r="44" ht="7.5" customHeight="1" s="273"/>
    <row r="45" ht="6" customHeight="1" s="273">
      <c r="A45" s="272" t="n"/>
    </row>
    <row r="46" ht="15.75" customHeight="1" s="273">
      <c r="A46" s="390" t="inlineStr">
        <is>
          <t xml:space="preserve">  MAXIMUM CAPACITY vs ACTUALS  —  Pump Constraint vs Rail Constraint</t>
        </is>
      </c>
      <c r="B46" s="354" t="n"/>
      <c r="C46" s="354" t="n"/>
      <c r="D46" s="354" t="n"/>
      <c r="E46" s="354" t="n"/>
      <c r="F46" s="354" t="n"/>
      <c r="G46" s="354" t="n"/>
      <c r="H46" s="354" t="n"/>
      <c r="I46" s="354" t="n"/>
      <c r="J46" s="354" t="n"/>
      <c r="K46" s="354" t="n"/>
      <c r="L46" s="354" t="n"/>
      <c r="M46" s="355" t="n"/>
    </row>
    <row r="47" ht="30" customHeight="1" s="273">
      <c r="A47" s="277" t="inlineStr">
        <is>
          <t>Metric</t>
        </is>
      </c>
      <c r="B47" s="355" t="n"/>
      <c r="C47" s="501" t="inlineStr">
        <is>
          <t>Pump Max
(34.8 min cycle)</t>
        </is>
      </c>
      <c r="D47" s="355" t="n"/>
      <c r="E47" s="502" t="inlineStr">
        <is>
          <t>Rail Max
(1 switch/day)</t>
        </is>
      </c>
      <c r="F47" s="355" t="n"/>
      <c r="G47" s="503" t="inlineStr">
        <is>
          <t>Rail+Pump Max
(2 switches/day)</t>
        </is>
      </c>
      <c r="H47" s="355" t="n"/>
      <c r="I47" s="314" t="inlineStr">
        <is>
          <t>Feb 2026
Actual</t>
        </is>
      </c>
      <c r="J47" s="314" t="inlineStr">
        <is>
          <t>% of Rail
Max (1 sw)</t>
        </is>
      </c>
      <c r="K47" s="403" t="inlineStr">
        <is>
          <t>76*</t>
        </is>
      </c>
      <c r="L47" s="403" t="inlineStr">
        <is>
          <t>% of Rail
Max (1 sw)</t>
        </is>
      </c>
      <c r="M47" s="504" t="inlineStr">
        <is>
          <t>*76 trucks used back-track method (24-25 cars) — not repeatable in standard ops</t>
        </is>
      </c>
    </row>
    <row r="48" ht="15.75" customHeight="1" s="273">
      <c r="A48" s="505" t="inlineStr">
        <is>
          <t>Trucks / Day</t>
        </is>
      </c>
      <c r="B48" s="355" t="n"/>
      <c r="C48" s="506" t="n">
        <v>109</v>
      </c>
      <c r="D48" s="355" t="n"/>
      <c r="E48" s="507" t="n">
        <v>71</v>
      </c>
      <c r="F48" s="355" t="n"/>
      <c r="G48" s="508" t="n">
        <v>93</v>
      </c>
      <c r="H48" s="355" t="n"/>
      <c r="I48" s="509" t="n">
        <v>57.1</v>
      </c>
      <c r="J48" s="366" t="n">
        <v>0.803</v>
      </c>
      <c r="K48" s="510" t="inlineStr">
        <is>
          <t>16,036*</t>
        </is>
      </c>
      <c r="L48" s="296" t="n">
        <v>1.07</v>
      </c>
      <c r="M48" s="511" t="inlineStr">
        <is>
          <t>*16,036 bbls used back-track loading (24-25 cars) — standard ops ceiling is 15,000 bbls (22 cars)</t>
        </is>
      </c>
    </row>
    <row r="49" ht="15.75" customHeight="1" s="273">
      <c r="A49" s="512" t="inlineStr">
        <is>
          <t>Bbls / Day</t>
        </is>
      </c>
      <c r="B49" s="355" t="n"/>
      <c r="C49" s="513" t="n">
        <v>22786</v>
      </c>
      <c r="D49" s="355" t="n"/>
      <c r="E49" s="514" t="n">
        <v>15000</v>
      </c>
      <c r="F49" s="355" t="n"/>
      <c r="G49" s="515" t="n">
        <v>19533</v>
      </c>
      <c r="H49" s="355" t="n"/>
      <c r="I49" s="516" t="n">
        <v>11200</v>
      </c>
      <c r="J49" s="366" t="n">
        <v>0.747</v>
      </c>
      <c r="K49" s="517" t="n">
        <v>16036</v>
      </c>
      <c r="L49" s="288" t="n">
        <v>1.069</v>
      </c>
      <c r="M49" s="432" t="inlineStr">
        <is>
          <t>⚠ Best day (16,036) &gt; rail ceiling — pumps were idle waiting for switch</t>
        </is>
      </c>
    </row>
    <row r="50" ht="15.75" customHeight="1" s="273">
      <c r="A50" s="505" t="inlineStr">
        <is>
          <t>Bbls / Month (31d)</t>
        </is>
      </c>
      <c r="B50" s="355" t="n"/>
      <c r="C50" s="513" t="n">
        <v>706353</v>
      </c>
      <c r="D50" s="355" t="n"/>
      <c r="E50" s="514" t="n">
        <v>465000</v>
      </c>
      <c r="F50" s="355" t="n"/>
      <c r="G50" s="515" t="n">
        <v>605523</v>
      </c>
      <c r="H50" s="355" t="n"/>
      <c r="I50" s="518" t="n">
        <v>313600</v>
      </c>
      <c r="J50" s="296" t="n">
        <v>0.674</v>
      </c>
      <c r="K50" s="519" t="inlineStr">
        <is>
          <t>—</t>
        </is>
      </c>
      <c r="L50" s="519" t="inlineStr">
        <is>
          <t>—</t>
        </is>
      </c>
      <c r="M50" s="426" t="inlineStr">
        <is>
          <t>1 switch: 15k×31 | 2 switches: 19,533×31</t>
        </is>
      </c>
    </row>
    <row r="51" ht="15.75" customHeight="1" s="273">
      <c r="A51" s="512" t="inlineStr">
        <is>
          <t>Pump-Hrs / Day</t>
        </is>
      </c>
      <c r="B51" s="355" t="n"/>
      <c r="C51" s="513" t="n">
        <v>63</v>
      </c>
      <c r="D51" s="355" t="n"/>
      <c r="E51" s="520" t="inlineStr">
        <is>
          <t>—</t>
        </is>
      </c>
      <c r="F51" s="355" t="n"/>
      <c r="G51" s="521" t="inlineStr">
        <is>
          <t>—</t>
        </is>
      </c>
      <c r="H51" s="355" t="n"/>
      <c r="I51" s="516" t="n">
        <v>27.7</v>
      </c>
      <c r="J51" s="417" t="inlineStr">
        <is>
          <t>—</t>
        </is>
      </c>
      <c r="K51" s="522" t="n">
        <v>52.3</v>
      </c>
      <c r="L51" s="417" t="inlineStr">
        <is>
          <t>—</t>
        </is>
      </c>
      <c r="M51" s="427" t="inlineStr">
        <is>
          <t>Pump hrs independent of rail constraint</t>
        </is>
      </c>
    </row>
    <row r="52" ht="15.75" customHeight="1" s="273">
      <c r="A52" s="505" t="inlineStr">
        <is>
          <t>Revenue / Day</t>
        </is>
      </c>
      <c r="B52" s="355" t="n"/>
      <c r="C52" s="523" t="n">
        <v>20840</v>
      </c>
      <c r="D52" s="355" t="n"/>
      <c r="E52" s="524" t="n">
        <v>15000</v>
      </c>
      <c r="F52" s="355" t="n"/>
      <c r="G52" s="525" t="n">
        <v>18400</v>
      </c>
      <c r="H52" s="355" t="n"/>
      <c r="I52" s="526" t="n">
        <v>12150</v>
      </c>
      <c r="J52" s="519" t="inlineStr">
        <is>
          <t>—</t>
        </is>
      </c>
      <c r="K52" s="527" t="n">
        <v>15777</v>
      </c>
      <c r="L52" s="519" t="inlineStr">
        <is>
          <t>—</t>
        </is>
      </c>
      <c r="M52" s="426" t="inlineStr">
        <is>
          <t>Trafigura tiered rates</t>
        </is>
      </c>
    </row>
    <row r="53" ht="15.75" customHeight="1" s="273">
      <c r="A53" s="512" t="inlineStr">
        <is>
          <t>Revenue / Month</t>
        </is>
      </c>
      <c r="B53" s="355" t="n"/>
      <c r="C53" s="523" t="n">
        <v>646024</v>
      </c>
      <c r="D53" s="355" t="n"/>
      <c r="E53" s="524" t="n">
        <v>465000</v>
      </c>
      <c r="F53" s="355" t="n"/>
      <c r="G53" s="525" t="n">
        <v>570392</v>
      </c>
      <c r="H53" s="355" t="n"/>
      <c r="I53" s="528" t="n">
        <v>376650</v>
      </c>
      <c r="J53" s="417" t="inlineStr">
        <is>
          <t>—</t>
        </is>
      </c>
      <c r="K53" s="417" t="inlineStr">
        <is>
          <t>—</t>
        </is>
      </c>
      <c r="L53" s="417" t="inlineStr">
        <is>
          <t>—</t>
        </is>
      </c>
      <c r="M53" s="427" t="inlineStr">
        <is>
          <t>31-day month</t>
        </is>
      </c>
    </row>
    <row r="54" ht="7.5" customHeight="1" s="273"/>
    <row r="55" ht="15.75" customHeight="1" s="273">
      <c r="A55" s="529" t="inlineStr">
        <is>
          <t xml:space="preserve">  RAILROAD SWITCH CONSTRAINT  —  The Real Capacity Ceiling</t>
        </is>
      </c>
      <c r="B55" s="354" t="n"/>
      <c r="C55" s="354" t="n"/>
      <c r="D55" s="354" t="n"/>
      <c r="E55" s="354" t="n"/>
      <c r="F55" s="354" t="n"/>
      <c r="G55" s="354" t="n"/>
      <c r="H55" s="354" t="n"/>
      <c r="I55" s="354" t="n"/>
      <c r="J55" s="354" t="n"/>
      <c r="K55" s="354" t="n"/>
      <c r="L55" s="354" t="n"/>
      <c r="M55" s="355" t="n"/>
    </row>
    <row r="56" ht="24" customHeight="1" s="273">
      <c r="A56" s="359" t="inlineStr">
        <is>
          <t>Metric</t>
        </is>
      </c>
      <c r="B56" s="354" t="n"/>
      <c r="C56" s="355" t="n"/>
      <c r="D56" s="359" t="inlineStr">
        <is>
          <t>1 Switch/Day
(Current)</t>
        </is>
      </c>
      <c r="E56" s="355" t="n"/>
      <c r="F56" s="359" t="inlineStr">
        <is>
          <t>2 Switches/Day
(Proposed)</t>
        </is>
      </c>
      <c r="G56" s="355" t="n"/>
      <c r="H56" s="359" t="inlineStr">
        <is>
          <t>Improvement</t>
        </is>
      </c>
      <c r="I56" s="355" t="n"/>
      <c r="J56" s="359" t="inlineStr">
        <is>
          <t>Revenue Impact
/Month</t>
        </is>
      </c>
      <c r="K56" s="355" t="n"/>
      <c r="L56" s="359" t="inlineStr">
        <is>
          <t>Notes</t>
        </is>
      </c>
      <c r="M56" s="355" t="n"/>
    </row>
    <row r="57" ht="15" customHeight="1" s="273">
      <c r="A57" s="530" t="inlineStr">
        <is>
          <t>Switches per day</t>
        </is>
      </c>
      <c r="B57" s="354" t="n"/>
      <c r="C57" s="355" t="n"/>
      <c r="D57" s="531" t="inlineStr">
        <is>
          <t>1</t>
        </is>
      </c>
      <c r="E57" s="355" t="n"/>
      <c r="F57" s="532" t="inlineStr">
        <is>
          <t>2</t>
        </is>
      </c>
      <c r="G57" s="355" t="n"/>
      <c r="H57" s="411" t="inlineStr">
        <is>
          <t>+1 switch</t>
        </is>
      </c>
      <c r="I57" s="355" t="n"/>
      <c r="J57" s="519" t="inlineStr">
        <is>
          <t>—</t>
        </is>
      </c>
      <c r="K57" s="355" t="n"/>
      <c r="L57" s="426" t="inlineStr">
        <is>
          <t>Railroad comes once vs twice daily</t>
        </is>
      </c>
      <c r="M57" s="355" t="n"/>
    </row>
    <row r="58" ht="15" customHeight="1" s="273">
      <c r="A58" s="533" t="inlineStr">
        <is>
          <t>Switch duration per event</t>
        </is>
      </c>
      <c r="B58" s="354" t="n"/>
      <c r="C58" s="355" t="n"/>
      <c r="D58" s="531" t="inlineStr">
        <is>
          <t>3 hrs</t>
        </is>
      </c>
      <c r="E58" s="355" t="n"/>
      <c r="F58" s="532" t="inlineStr">
        <is>
          <t>3 hrs each</t>
        </is>
      </c>
      <c r="G58" s="355" t="n"/>
      <c r="H58" s="403" t="inlineStr">
        <is>
          <t>−3 hrs avail</t>
        </is>
      </c>
      <c r="I58" s="355" t="n"/>
      <c r="J58" s="417" t="inlineStr">
        <is>
          <t>—</t>
        </is>
      </c>
      <c r="K58" s="355" t="n"/>
      <c r="L58" s="427" t="inlineStr">
        <is>
          <t>Each visit = 3 hrs pumps idle</t>
        </is>
      </c>
      <c r="M58" s="355" t="n"/>
    </row>
    <row r="59" ht="15" customHeight="1" s="273">
      <c r="A59" s="530" t="inlineStr">
        <is>
          <t>Available pump hrs/day</t>
        </is>
      </c>
      <c r="B59" s="354" t="n"/>
      <c r="C59" s="355" t="n"/>
      <c r="D59" s="531" t="inlineStr">
        <is>
          <t>21 hrs</t>
        </is>
      </c>
      <c r="E59" s="355" t="n"/>
      <c r="F59" s="532" t="inlineStr">
        <is>
          <t>18 hrs</t>
        </is>
      </c>
      <c r="G59" s="355" t="n"/>
      <c r="H59" s="403" t="inlineStr">
        <is>
          <t>−3 hrs net</t>
        </is>
      </c>
      <c r="I59" s="355" t="n"/>
      <c r="J59" s="519" t="inlineStr">
        <is>
          <t>—</t>
        </is>
      </c>
      <c r="K59" s="355" t="n"/>
      <c r="L59" s="426" t="inlineStr">
        <is>
          <t>24−3=21 (current) vs 24−6=18 (2 switches)</t>
        </is>
      </c>
      <c r="M59" s="355" t="n"/>
    </row>
    <row r="60" ht="15" customHeight="1" s="273">
      <c r="A60" s="533" t="inlineStr">
        <is>
          <t>Rail capacity/day (bbls)</t>
        </is>
      </c>
      <c r="B60" s="354" t="n"/>
      <c r="C60" s="355" t="n"/>
      <c r="D60" s="531" t="inlineStr">
        <is>
          <t>15,000</t>
        </is>
      </c>
      <c r="E60" s="355" t="n"/>
      <c r="F60" s="532" t="inlineStr">
        <is>
          <t>30,000</t>
        </is>
      </c>
      <c r="G60" s="355" t="n"/>
      <c r="H60" s="411" t="inlineStr">
        <is>
          <t>+15,000 bbls</t>
        </is>
      </c>
      <c r="I60" s="355" t="n"/>
      <c r="J60" s="417" t="inlineStr">
        <is>
          <t>—</t>
        </is>
      </c>
      <c r="K60" s="355" t="n"/>
      <c r="L60" s="427" t="inlineStr">
        <is>
          <t>22 cars × ~682 bbls avg safe cap per fill</t>
        </is>
      </c>
      <c r="M60" s="355" t="n"/>
    </row>
    <row r="61" ht="15" customHeight="1" s="273">
      <c r="A61" s="530" t="inlineStr">
        <is>
          <t>Binding constraint</t>
        </is>
      </c>
      <c r="B61" s="354" t="n"/>
      <c r="C61" s="355" t="n"/>
      <c r="D61" s="531" t="inlineStr">
        <is>
          <t>RAIL (15k)</t>
        </is>
      </c>
      <c r="E61" s="355" t="n"/>
      <c r="F61" s="532" t="inlineStr">
        <is>
          <t>PUMP (19.5k)</t>
        </is>
      </c>
      <c r="G61" s="355" t="n"/>
      <c r="H61" s="403" t="inlineStr">
        <is>
          <t>Shifts to pump</t>
        </is>
      </c>
      <c r="I61" s="355" t="n"/>
      <c r="J61" s="519" t="inlineStr">
        <is>
          <t>—</t>
        </is>
      </c>
      <c r="K61" s="355" t="n"/>
      <c r="L61" s="426" t="inlineStr">
        <is>
          <t>With 2 switches rail no longer the ceiling</t>
        </is>
      </c>
      <c r="M61" s="355" t="n"/>
    </row>
    <row r="62" ht="15" customHeight="1" s="273">
      <c r="A62" s="512" t="inlineStr">
        <is>
          <t>Max bbls/day</t>
        </is>
      </c>
      <c r="B62" s="354" t="n"/>
      <c r="C62" s="355" t="n"/>
      <c r="D62" s="531" t="inlineStr">
        <is>
          <t>15,000</t>
        </is>
      </c>
      <c r="E62" s="355" t="n"/>
      <c r="F62" s="532" t="inlineStr">
        <is>
          <t>19,533</t>
        </is>
      </c>
      <c r="G62" s="355" t="n"/>
      <c r="H62" s="411" t="inlineStr">
        <is>
          <t>+4,533 bbls/day</t>
        </is>
      </c>
      <c r="I62" s="355" t="n"/>
      <c r="J62" s="411" t="inlineStr">
        <is>
          <t>$105,395/mo</t>
        </is>
      </c>
      <c r="K62" s="355" t="n"/>
      <c r="L62" s="427" t="inlineStr">
        <is>
          <t>93 trucks/day pump-limited with 2 switches</t>
        </is>
      </c>
      <c r="M62" s="355" t="n"/>
    </row>
    <row r="63" ht="15" customHeight="1" s="273">
      <c r="A63" s="530" t="inlineStr">
        <is>
          <t>Max trucks/day</t>
        </is>
      </c>
      <c r="B63" s="354" t="n"/>
      <c r="C63" s="355" t="n"/>
      <c r="D63" s="531" t="inlineStr">
        <is>
          <t>71</t>
        </is>
      </c>
      <c r="E63" s="355" t="n"/>
      <c r="F63" s="532" t="inlineStr">
        <is>
          <t>93</t>
        </is>
      </c>
      <c r="G63" s="355" t="n"/>
      <c r="H63" s="411" t="inlineStr">
        <is>
          <t>+22 trucks/day</t>
        </is>
      </c>
      <c r="I63" s="355" t="n"/>
      <c r="J63" s="519" t="inlineStr">
        <is>
          <t>—</t>
        </is>
      </c>
      <c r="K63" s="355" t="n"/>
      <c r="L63" s="426" t="inlineStr">
        <is>
          <t>Rail cap = 71 | Pump cap with 18 hrs = 93</t>
        </is>
      </c>
      <c r="M63" s="355" t="n"/>
    </row>
    <row r="64" ht="15" customHeight="1" s="273">
      <c r="A64" s="512" t="inlineStr">
        <is>
          <t>Max revenue/month</t>
        </is>
      </c>
      <c r="B64" s="354" t="n"/>
      <c r="C64" s="355" t="n"/>
      <c r="D64" s="531" t="inlineStr">
        <is>
          <t>$465,000</t>
        </is>
      </c>
      <c r="E64" s="355" t="n"/>
      <c r="F64" s="532" t="inlineStr">
        <is>
          <t>$570,395</t>
        </is>
      </c>
      <c r="G64" s="355" t="n"/>
      <c r="H64" s="411" t="inlineStr">
        <is>
          <t>+$105,395</t>
        </is>
      </c>
      <c r="I64" s="355" t="n"/>
      <c r="J64" s="411" t="inlineStr">
        <is>
          <t>+$105,395/mo</t>
        </is>
      </c>
      <c r="K64" s="355" t="n"/>
      <c r="L64" s="427" t="inlineStr">
        <is>
          <t>At Trafigura tiered rates × 31 days</t>
        </is>
      </c>
      <c r="M64" s="355" t="n"/>
    </row>
    <row r="65" ht="15" customHeight="1" s="273">
      <c r="A65" s="505" t="inlineStr">
        <is>
          <t>vs Feb 2026 actual</t>
        </is>
      </c>
      <c r="B65" s="354" t="n"/>
      <c r="C65" s="355" t="n"/>
      <c r="D65" s="531" t="inlineStr">
        <is>
          <t>$376,650/mo</t>
        </is>
      </c>
      <c r="E65" s="355" t="n"/>
      <c r="F65" s="532" t="inlineStr">
        <is>
          <t>$570,395/mo</t>
        </is>
      </c>
      <c r="G65" s="355" t="n"/>
      <c r="H65" s="411" t="inlineStr">
        <is>
          <t>+$193,745</t>
        </is>
      </c>
      <c r="I65" s="355" t="n"/>
      <c r="J65" s="411" t="inlineStr">
        <is>
          <t>+$193,745/mo</t>
        </is>
      </c>
      <c r="K65" s="355" t="n"/>
      <c r="L65" s="426" t="inlineStr">
        <is>
          <t>Full upside from current rate to 2-switch max</t>
        </is>
      </c>
      <c r="M65" s="355" t="n"/>
    </row>
    <row r="66" ht="7.5" customHeight="1" s="273"/>
    <row r="67" ht="15.75" customHeight="1" s="273">
      <c r="A67" s="534" t="inlineStr">
        <is>
          <t xml:space="preserve">  SPLIT LOAD IMPACT  —  Cost of Railcar Changeovers on Capacity</t>
        </is>
      </c>
      <c r="B67" s="354" t="n"/>
      <c r="C67" s="354" t="n"/>
      <c r="D67" s="354" t="n"/>
      <c r="E67" s="354" t="n"/>
      <c r="F67" s="354" t="n"/>
      <c r="G67" s="354" t="n"/>
      <c r="H67" s="354" t="n"/>
      <c r="I67" s="354" t="n"/>
      <c r="J67" s="354" t="n"/>
      <c r="K67" s="354" t="n"/>
      <c r="L67" s="354" t="n"/>
      <c r="M67" s="355" t="n"/>
    </row>
    <row r="68" ht="15.75" customHeight="1" s="273">
      <c r="A68" s="359" t="inlineStr">
        <is>
          <t>Metric</t>
        </is>
      </c>
      <c r="B68" s="354" t="n"/>
      <c r="C68" s="355" t="n"/>
      <c r="D68" s="359" t="inlineStr">
        <is>
          <t>Impact</t>
        </is>
      </c>
      <c r="E68" s="354" t="n"/>
      <c r="F68" s="354" t="n"/>
      <c r="G68" s="355" t="n"/>
      <c r="H68" s="359" t="inlineStr">
        <is>
          <t>Notes</t>
        </is>
      </c>
      <c r="I68" s="354" t="n"/>
      <c r="J68" s="354" t="n"/>
      <c r="K68" s="354" t="n"/>
      <c r="L68" s="354" t="n"/>
      <c r="M68" s="355" t="n"/>
    </row>
    <row r="69" ht="15" customHeight="1" s="273">
      <c r="A69" s="530" t="inlineStr">
        <is>
          <t>Split frequency</t>
        </is>
      </c>
      <c r="B69" s="354" t="n"/>
      <c r="C69" s="355" t="n"/>
      <c r="D69" s="535" t="inlineStr">
        <is>
          <t>24.0% of loads</t>
        </is>
      </c>
      <c r="E69" s="354" t="n"/>
      <c r="F69" s="354" t="n"/>
      <c r="G69" s="355" t="n"/>
      <c r="H69" s="426" t="inlineStr">
        <is>
          <t>2,260 of 9,404 total loads — nearly 1 in 4 trucks results in a railcar changeover</t>
        </is>
      </c>
      <c r="I69" s="354" t="n"/>
      <c r="J69" s="354" t="n"/>
      <c r="K69" s="354" t="n"/>
      <c r="L69" s="354" t="n"/>
      <c r="M69" s="355" t="n"/>
    </row>
    <row r="70" ht="15" customHeight="1" s="273">
      <c r="A70" s="533" t="inlineStr">
        <is>
          <t>Extra time per split load</t>
        </is>
      </c>
      <c r="B70" s="354" t="n"/>
      <c r="C70" s="355" t="n"/>
      <c r="D70" s="535" t="inlineStr">
        <is>
          <t>+4.3 min/load</t>
        </is>
      </c>
      <c r="E70" s="354" t="n"/>
      <c r="F70" s="354" t="n"/>
      <c r="G70" s="355" t="n"/>
      <c r="H70" s="427" t="inlineStr">
        <is>
          <t>vs straight load — railcar shutoff · reposition · reconnect · restart</t>
        </is>
      </c>
      <c r="I70" s="354" t="n"/>
      <c r="J70" s="354" t="n"/>
      <c r="K70" s="354" t="n"/>
      <c r="L70" s="354" t="n"/>
      <c r="M70" s="355" t="n"/>
    </row>
    <row r="71" ht="15" customHeight="1" s="273">
      <c r="A71" s="530" t="inlineStr">
        <is>
          <t>Capacity reduction (loads/day)</t>
        </is>
      </c>
      <c r="B71" s="354" t="n"/>
      <c r="C71" s="355" t="n"/>
      <c r="D71" s="535" t="inlineStr">
        <is>
          <t>-3 loads/day</t>
        </is>
      </c>
      <c r="E71" s="354" t="n"/>
      <c r="F71" s="354" t="n"/>
      <c r="G71" s="355" t="n"/>
      <c r="H71" s="426" t="inlineStr">
        <is>
          <t>109 pump max vs 112 if no splits</t>
        </is>
      </c>
      <c r="I71" s="354" t="n"/>
      <c r="J71" s="354" t="n"/>
      <c r="K71" s="354" t="n"/>
      <c r="L71" s="354" t="n"/>
      <c r="M71" s="355" t="n"/>
    </row>
    <row r="72" ht="15" customHeight="1" s="273">
      <c r="A72" s="533" t="inlineStr">
        <is>
          <t>Capacity reduction (bbls/day)</t>
        </is>
      </c>
      <c r="B72" s="354" t="n"/>
      <c r="C72" s="355" t="n"/>
      <c r="D72" s="535" t="inlineStr">
        <is>
          <t>-601 bbls/day</t>
        </is>
      </c>
      <c r="E72" s="354" t="n"/>
      <c r="F72" s="354" t="n"/>
      <c r="G72" s="355" t="n"/>
      <c r="H72" s="427" t="inlineStr">
        <is>
          <t>At pump-max level only; below rail ceiling</t>
        </is>
      </c>
      <c r="I72" s="354" t="n"/>
      <c r="J72" s="354" t="n"/>
      <c r="K72" s="354" t="n"/>
      <c r="L72" s="354" t="n"/>
      <c r="M72" s="355" t="n"/>
    </row>
    <row r="73" ht="15" customHeight="1" s="273">
      <c r="A73" s="530" t="inlineStr">
        <is>
          <t>Revenue impact at max capacity</t>
        </is>
      </c>
      <c r="B73" s="354" t="n"/>
      <c r="C73" s="355" t="n"/>
      <c r="D73" s="535" t="inlineStr">
        <is>
          <t>-$451/day</t>
        </is>
      </c>
      <c r="E73" s="354" t="n"/>
      <c r="F73" s="354" t="n"/>
      <c r="G73" s="355" t="n"/>
      <c r="H73" s="426" t="inlineStr">
        <is>
          <t>$13,975/month revenue ceiling reduction from split overhead</t>
        </is>
      </c>
      <c r="I73" s="354" t="n"/>
      <c r="J73" s="354" t="n"/>
      <c r="K73" s="354" t="n"/>
      <c r="L73" s="354" t="n"/>
      <c r="M73" s="355" t="n"/>
    </row>
    <row r="74" ht="15" customHeight="1" s="273">
      <c r="A74" s="533" t="inlineStr">
        <is>
          <t>Split load avg bbls</t>
        </is>
      </c>
      <c r="B74" s="354" t="n"/>
      <c r="C74" s="355" t="n"/>
      <c r="D74" s="535" t="inlineStr">
        <is>
          <t>213.8 bbls</t>
        </is>
      </c>
      <c r="E74" s="354" t="n"/>
      <c r="F74" s="354" t="n"/>
      <c r="G74" s="355" t="n"/>
      <c r="H74" s="427" t="inlineStr">
        <is>
          <t>Slightly higher than straight (208.5) — splits happen because railcar is nearly full</t>
        </is>
      </c>
      <c r="I74" s="354" t="n"/>
      <c r="J74" s="354" t="n"/>
      <c r="K74" s="354" t="n"/>
      <c r="L74" s="354" t="n"/>
      <c r="M74" s="355" t="n"/>
    </row>
    <row r="75" ht="7.5" customHeight="1" s="273"/>
    <row r="76" ht="15.75" customHeight="1" s="273">
      <c r="A76" s="390" t="inlineStr">
        <is>
          <t xml:space="preserve">  REVENUE UPSIDE  —  What Each Additional Truck Per Day Is Worth  (Rail ceiling = 71/day · 2nd switch unlocks to 93/day)</t>
        </is>
      </c>
      <c r="B76" s="354" t="n"/>
      <c r="C76" s="354" t="n"/>
      <c r="D76" s="354" t="n"/>
      <c r="E76" s="354" t="n"/>
      <c r="F76" s="354" t="n"/>
      <c r="G76" s="354" t="n"/>
      <c r="H76" s="354" t="n"/>
      <c r="I76" s="354" t="n"/>
      <c r="J76" s="354" t="n"/>
      <c r="K76" s="354" t="n"/>
      <c r="L76" s="354" t="n"/>
      <c r="M76" s="355" t="n"/>
    </row>
    <row r="77" ht="24" customHeight="1" s="273">
      <c r="A77" s="360" t="inlineStr">
        <is>
          <t>Scenario</t>
        </is>
      </c>
      <c r="B77" s="354" t="n"/>
      <c r="C77" s="355" t="n"/>
      <c r="D77" s="360" t="inlineStr">
        <is>
          <t>Trucks
/Day</t>
        </is>
      </c>
      <c r="E77" s="360" t="inlineStr">
        <is>
          <t>Bbls/Day</t>
        </is>
      </c>
      <c r="F77" s="355" t="n"/>
      <c r="G77" s="360" t="inlineStr">
        <is>
          <t>Rev/Day</t>
        </is>
      </c>
      <c r="H77" s="355" t="n"/>
      <c r="I77" s="360" t="inlineStr">
        <is>
          <t>Rev/Month</t>
        </is>
      </c>
      <c r="J77" s="355" t="n"/>
      <c r="K77" s="360" t="inlineStr">
        <is>
          <t>vs Feb 2026
(monthly)</t>
        </is>
      </c>
      <c r="L77" s="360" t="inlineStr">
        <is>
          <t>% of Rail
Max (1 sw)</t>
        </is>
      </c>
      <c r="M77" s="355" t="n"/>
    </row>
    <row r="78" ht="15" customHeight="1" s="273">
      <c r="A78" s="536" t="inlineStr">
        <is>
          <t>Current — Feb 2026 Avg</t>
        </is>
      </c>
      <c r="B78" s="354" t="n"/>
      <c r="C78" s="355" t="n"/>
      <c r="D78" s="537" t="n">
        <v>57</v>
      </c>
      <c r="E78" s="538" t="n">
        <v>11959</v>
      </c>
      <c r="F78" s="355" t="n"/>
      <c r="G78" s="539" t="n">
        <v>12719</v>
      </c>
      <c r="H78" s="355" t="n"/>
      <c r="I78" s="539" t="n">
        <v>394287</v>
      </c>
      <c r="J78" s="355" t="n"/>
      <c r="K78" s="537" t="inlineStr">
        <is>
          <t>Baseline</t>
        </is>
      </c>
      <c r="L78" s="366" t="n">
        <v>0.802816901408451</v>
      </c>
      <c r="M78" s="355" t="n"/>
    </row>
    <row r="79" ht="15" customHeight="1" s="273">
      <c r="A79" s="540" t="inlineStr">
        <is>
          <t>Rail ceiling — 1 switch (71/day)</t>
        </is>
      </c>
      <c r="B79" s="354" t="n"/>
      <c r="C79" s="355" t="n"/>
      <c r="D79" s="531" t="n">
        <v>71</v>
      </c>
      <c r="E79" s="514" t="n">
        <v>14896</v>
      </c>
      <c r="F79" s="355" t="n"/>
      <c r="G79" s="524" t="n">
        <v>14922</v>
      </c>
      <c r="H79" s="355" t="n"/>
      <c r="I79" s="524" t="n">
        <v>462577</v>
      </c>
      <c r="J79" s="355" t="n"/>
      <c r="K79" s="394" t="n">
        <v>85927</v>
      </c>
      <c r="L79" s="366" t="n">
        <v>1</v>
      </c>
      <c r="M79" s="355" t="n"/>
    </row>
    <row r="80" ht="15" customHeight="1" s="273">
      <c r="A80" s="512" t="inlineStr">
        <is>
          <t>+25 trucks/day  (82/day)</t>
        </is>
      </c>
      <c r="B80" s="354" t="n"/>
      <c r="C80" s="355" t="n"/>
      <c r="D80" s="541" t="n">
        <v>82</v>
      </c>
      <c r="E80" s="516" t="n">
        <v>17204</v>
      </c>
      <c r="F80" s="355" t="n"/>
      <c r="G80" s="528" t="n">
        <v>16653</v>
      </c>
      <c r="H80" s="355" t="n"/>
      <c r="I80" s="528" t="n">
        <v>516234</v>
      </c>
      <c r="J80" s="355" t="n"/>
      <c r="K80" s="394" t="n">
        <v>139584</v>
      </c>
      <c r="L80" s="288" t="n">
        <v>1.15492957746479</v>
      </c>
      <c r="M80" s="355" t="n"/>
    </row>
    <row r="81" ht="15" customHeight="1" s="273">
      <c r="A81" s="542" t="inlineStr">
        <is>
          <t>2nd switch unlocked — max (93/day)</t>
        </is>
      </c>
      <c r="B81" s="354" t="n"/>
      <c r="C81" s="355" t="n"/>
      <c r="D81" s="532" t="n">
        <v>93</v>
      </c>
      <c r="E81" s="515" t="n">
        <v>19511</v>
      </c>
      <c r="F81" s="355" t="n"/>
      <c r="G81" s="525" t="n">
        <v>18384</v>
      </c>
      <c r="H81" s="355" t="n"/>
      <c r="I81" s="525" t="n">
        <v>569890</v>
      </c>
      <c r="J81" s="355" t="n"/>
      <c r="K81" s="394" t="n">
        <v>193240</v>
      </c>
      <c r="L81" s="288" t="n">
        <v>1.30985915492958</v>
      </c>
      <c r="M81" s="355" t="n"/>
    </row>
    <row r="82" ht="15" customHeight="1" s="273">
      <c r="A82" s="543" t="inlineStr">
        <is>
          <t>Best Day on Record (Feb 13)*</t>
        </is>
      </c>
      <c r="B82" s="354" t="n"/>
      <c r="C82" s="355" t="n"/>
      <c r="D82" s="403" t="n">
        <v>97</v>
      </c>
      <c r="E82" s="522" t="n">
        <v>20351</v>
      </c>
      <c r="F82" s="355" t="n"/>
      <c r="G82" s="527" t="n">
        <v>19013</v>
      </c>
      <c r="H82" s="355" t="n"/>
      <c r="I82" s="527" t="n">
        <v>589401</v>
      </c>
      <c r="J82" s="355" t="n"/>
      <c r="K82" s="394" t="n">
        <v>212751</v>
      </c>
      <c r="L82" s="288" t="n">
        <v>1.36619718309859</v>
      </c>
      <c r="M82" s="355" t="n"/>
    </row>
    <row r="83" ht="15" customHeight="1" s="273">
      <c r="A83" s="444" t="inlineStr">
        <is>
          <t>Pump Max — 2 switches (93/day)</t>
        </is>
      </c>
      <c r="B83" s="354" t="n"/>
      <c r="C83" s="355" t="n"/>
      <c r="D83" s="411" t="n">
        <v>93</v>
      </c>
      <c r="E83" s="544" t="n">
        <v>19511</v>
      </c>
      <c r="F83" s="355" t="n"/>
      <c r="G83" s="394" t="n">
        <v>18384</v>
      </c>
      <c r="H83" s="355" t="n"/>
      <c r="I83" s="394" t="n">
        <v>569890</v>
      </c>
      <c r="J83" s="355" t="n"/>
      <c r="K83" s="394" t="n">
        <v>193240</v>
      </c>
      <c r="L83" s="288" t="n">
        <v>1.30985915492958</v>
      </c>
      <c r="M83" s="355" t="n"/>
    </row>
    <row r="85" ht="19.5" customHeight="1" s="273">
      <c r="A85" s="545" t="inlineStr">
        <is>
          <t>* Feb 13, 2026 best day (76 trucks / 16,036 bbls) achieved via temporary back-track configuration using 24-25 railcars.  Not repeatable under standard operations (22 cars).  Standard operational ceiling = 15,000 bbls / 71 trucks / day with 1 railroad switch.  A 2nd daily switch raises ceiling to 93 trucks / 19,511 bbls / day (pump-limited).</t>
        </is>
      </c>
      <c r="B85" s="354" t="n"/>
      <c r="C85" s="354" t="n"/>
      <c r="D85" s="354" t="n"/>
      <c r="E85" s="354" t="n"/>
      <c r="F85" s="354" t="n"/>
      <c r="G85" s="354" t="n"/>
      <c r="H85" s="354" t="n"/>
      <c r="I85" s="354" t="n"/>
      <c r="J85" s="354" t="n"/>
      <c r="K85" s="354" t="n"/>
      <c r="L85" s="354" t="n"/>
      <c r="M85" s="354" t="n"/>
    </row>
  </sheetData>
  <mergeCells count="185">
    <mergeCell ref="G81:H81"/>
    <mergeCell ref="D60:E60"/>
    <mergeCell ref="H73:M73"/>
    <mergeCell ref="I81:J81"/>
    <mergeCell ref="L82:M82"/>
    <mergeCell ref="A32:M32"/>
    <mergeCell ref="A80:C80"/>
    <mergeCell ref="A51:B51"/>
    <mergeCell ref="D74:G74"/>
    <mergeCell ref="D68:G68"/>
    <mergeCell ref="C24:M24"/>
    <mergeCell ref="H70:M70"/>
    <mergeCell ref="J59:K59"/>
    <mergeCell ref="A57:C57"/>
    <mergeCell ref="J60:K60"/>
    <mergeCell ref="E79:F79"/>
    <mergeCell ref="E51:F51"/>
    <mergeCell ref="A71:C71"/>
    <mergeCell ref="C26:M26"/>
    <mergeCell ref="C50:D50"/>
    <mergeCell ref="D61:E61"/>
    <mergeCell ref="A38:F38"/>
    <mergeCell ref="A63:C63"/>
    <mergeCell ref="H42:M42"/>
    <mergeCell ref="E49:F49"/>
    <mergeCell ref="C27:M27"/>
    <mergeCell ref="A40:F40"/>
    <mergeCell ref="D62:E62"/>
    <mergeCell ref="A77:C77"/>
    <mergeCell ref="D56:E56"/>
    <mergeCell ref="L79:M79"/>
    <mergeCell ref="A83:C83"/>
    <mergeCell ref="F56:G56"/>
    <mergeCell ref="I83:J83"/>
    <mergeCell ref="A53:B53"/>
    <mergeCell ref="H65:I65"/>
    <mergeCell ref="D70:G70"/>
    <mergeCell ref="D64:E64"/>
    <mergeCell ref="L81:M81"/>
    <mergeCell ref="H62:I62"/>
    <mergeCell ref="J62:K62"/>
    <mergeCell ref="D72:G72"/>
    <mergeCell ref="E53:F53"/>
    <mergeCell ref="L65:M65"/>
    <mergeCell ref="C28:M28"/>
    <mergeCell ref="A69:C69"/>
    <mergeCell ref="H39:M39"/>
    <mergeCell ref="J58:K58"/>
    <mergeCell ref="A33:M33"/>
    <mergeCell ref="A2:M2"/>
    <mergeCell ref="F57:G57"/>
    <mergeCell ref="A85:M85"/>
    <mergeCell ref="A41:F41"/>
    <mergeCell ref="A48:B48"/>
    <mergeCell ref="J64:K64"/>
    <mergeCell ref="D71:G71"/>
    <mergeCell ref="G77:H77"/>
    <mergeCell ref="I77:J77"/>
    <mergeCell ref="A22:M22"/>
    <mergeCell ref="F63:G63"/>
    <mergeCell ref="A35:M35"/>
    <mergeCell ref="H63:I63"/>
    <mergeCell ref="I80:J80"/>
    <mergeCell ref="J57:K57"/>
    <mergeCell ref="L57:M57"/>
    <mergeCell ref="D73:G73"/>
    <mergeCell ref="E48:F48"/>
    <mergeCell ref="G48:H48"/>
    <mergeCell ref="H56:I56"/>
    <mergeCell ref="H72:M72"/>
    <mergeCell ref="A42:F42"/>
    <mergeCell ref="C47:D47"/>
    <mergeCell ref="F5:G5"/>
    <mergeCell ref="L83:M83"/>
    <mergeCell ref="A81:C81"/>
    <mergeCell ref="G49:H49"/>
    <mergeCell ref="H71:M71"/>
    <mergeCell ref="F62:G62"/>
    <mergeCell ref="A58:C58"/>
    <mergeCell ref="A73:C73"/>
    <mergeCell ref="A46:M46"/>
    <mergeCell ref="F61:G61"/>
    <mergeCell ref="A60:C60"/>
    <mergeCell ref="A82:C82"/>
    <mergeCell ref="I82:J82"/>
    <mergeCell ref="A52:B52"/>
    <mergeCell ref="L59:M59"/>
    <mergeCell ref="H41:M41"/>
    <mergeCell ref="L80:M80"/>
    <mergeCell ref="H5:I5"/>
    <mergeCell ref="J61:K61"/>
    <mergeCell ref="C53:D53"/>
    <mergeCell ref="L61:M61"/>
    <mergeCell ref="F64:G64"/>
    <mergeCell ref="E50:F50"/>
    <mergeCell ref="A76:M76"/>
    <mergeCell ref="D63:E63"/>
    <mergeCell ref="H36:M36"/>
    <mergeCell ref="A49:B49"/>
    <mergeCell ref="K5:L5"/>
    <mergeCell ref="E52:F52"/>
    <mergeCell ref="E83:F83"/>
    <mergeCell ref="H69:M69"/>
    <mergeCell ref="H58:I58"/>
    <mergeCell ref="D65:E65"/>
    <mergeCell ref="C29:M29"/>
    <mergeCell ref="H60:I60"/>
    <mergeCell ref="H37:M37"/>
    <mergeCell ref="A62:C62"/>
    <mergeCell ref="J65:K65"/>
    <mergeCell ref="E78:F78"/>
    <mergeCell ref="G78:H78"/>
    <mergeCell ref="A72:C72"/>
    <mergeCell ref="A1:M1"/>
    <mergeCell ref="A45:M45"/>
    <mergeCell ref="L58:M58"/>
    <mergeCell ref="E77:F77"/>
    <mergeCell ref="C51:D51"/>
    <mergeCell ref="E80:F80"/>
    <mergeCell ref="G80:H80"/>
    <mergeCell ref="H57:I57"/>
    <mergeCell ref="C48:D48"/>
    <mergeCell ref="A39:F39"/>
    <mergeCell ref="A59:C59"/>
    <mergeCell ref="L60:M60"/>
    <mergeCell ref="H38:M38"/>
    <mergeCell ref="G79:H79"/>
    <mergeCell ref="C23:M23"/>
    <mergeCell ref="A64:C64"/>
    <mergeCell ref="I79:J79"/>
    <mergeCell ref="G51:H51"/>
    <mergeCell ref="H43:M43"/>
    <mergeCell ref="A36:F36"/>
    <mergeCell ref="A79:C79"/>
    <mergeCell ref="A61:C61"/>
    <mergeCell ref="E81:F81"/>
    <mergeCell ref="H40:M40"/>
    <mergeCell ref="A70:C70"/>
    <mergeCell ref="G50:H50"/>
    <mergeCell ref="H74:M74"/>
    <mergeCell ref="L77:M77"/>
    <mergeCell ref="C49:D49"/>
    <mergeCell ref="H68:M68"/>
    <mergeCell ref="G52:H52"/>
    <mergeCell ref="A37:F37"/>
    <mergeCell ref="F65:G65"/>
    <mergeCell ref="A74:C74"/>
    <mergeCell ref="A4:M4"/>
    <mergeCell ref="A56:C56"/>
    <mergeCell ref="E82:F82"/>
    <mergeCell ref="F59:G59"/>
    <mergeCell ref="L78:M78"/>
    <mergeCell ref="G82:H82"/>
    <mergeCell ref="H59:I59"/>
    <mergeCell ref="A67:M67"/>
    <mergeCell ref="H64:I64"/>
    <mergeCell ref="D57:E57"/>
    <mergeCell ref="D69:G69"/>
    <mergeCell ref="L62:M62"/>
    <mergeCell ref="C25:M25"/>
    <mergeCell ref="G53:H53"/>
    <mergeCell ref="H61:I61"/>
    <mergeCell ref="A43:F43"/>
    <mergeCell ref="A50:B50"/>
    <mergeCell ref="L64:M64"/>
    <mergeCell ref="G83:H83"/>
    <mergeCell ref="A68:C68"/>
    <mergeCell ref="A47:B47"/>
    <mergeCell ref="J63:K63"/>
    <mergeCell ref="L63:M63"/>
    <mergeCell ref="C52:D52"/>
    <mergeCell ref="D58:E58"/>
    <mergeCell ref="F58:G58"/>
    <mergeCell ref="J56:K56"/>
    <mergeCell ref="A20:B20"/>
    <mergeCell ref="L56:M56"/>
    <mergeCell ref="C5:E5"/>
    <mergeCell ref="G47:H47"/>
    <mergeCell ref="I78:J78"/>
    <mergeCell ref="F60:G60"/>
    <mergeCell ref="A78:C78"/>
    <mergeCell ref="A55:M55"/>
    <mergeCell ref="A65:C65"/>
    <mergeCell ref="D59:E59"/>
    <mergeCell ref="E47:F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2026-03-16T15:41:20Z</dcterms:created>
  <dcterms:modified xmlns:dcterms="http://purl.org/dc/terms/" xmlns:xsi="http://www.w3.org/2001/XMLSchema-instance" xsi:type="dcterms:W3CDTF">2026-03-31T11:10:11Z</dcterms:modified>
  <cp:lastModifiedBy>Tyler Kolaczynski</cp:lastModifiedBy>
  <cp:revision>0</cp:revision>
</cp:coreProperties>
</file>